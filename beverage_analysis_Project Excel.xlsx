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2DFF6089-B220-49CC-96A3-960D333A31A5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Problem Statement" sheetId="1" r:id="rId1"/>
    <sheet name="Executive Dashboard" sheetId="2" r:id="rId2"/>
    <sheet name="State Analysis" sheetId="3" r:id="rId3"/>
    <sheet name="Health Analysis" sheetId="4" r:id="rId4"/>
    <sheet name="Platform Analysis" sheetId="5" r:id="rId5"/>
    <sheet name="Seasonal Analysis" sheetId="6" r:id="rId6"/>
    <sheet name="Brand Analysis" sheetId="7" r:id="rId7"/>
    <sheet name="Quality and Returns" sheetId="8" r:id="rId8"/>
    <sheet name="Recommendation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<sst xmlns="http://schemas.openxmlformats.org/spreadsheetml/2006/main" count="723" uniqueCount="373">
  <si>
    <t>INDIA BEVERAGE MARKET — E-COMMERCE ANALYSIS | PROBLEM STATEMENT &amp; RESEARCH FRAMEWORK</t>
  </si>
  <si>
    <t>PROJECT OVERVIEW</t>
  </si>
  <si>
    <t xml:space="preserve">  PROBLEM STATEMENT</t>
  </si>
  <si>
    <t xml:space="preserve">  India's beverage e-commerce market is growing rapidly across platforms like Amazon, Flipkart,</t>
  </si>
  <si>
    <t xml:space="preserve">  BigBasket, Blinkit, and JioMart. However, sellers, brand managers, and health professionals</t>
  </si>
  <si>
    <t xml:space="preserve">  lack a comprehensive data-driven view of:</t>
  </si>
  <si>
    <t xml:space="preserve">  1. Which states generate the highest sales revenue and why?</t>
  </si>
  <si>
    <t xml:space="preserve">  2. How do product health scores correlate with pricing and consumer ratings?</t>
  </si>
  <si>
    <t xml:space="preserve">  3. Which beverage categories dominate which marketplaces?</t>
  </si>
  <si>
    <t xml:space="preserve">  4. Is there a significant difference in profit margins across platforms and brands?</t>
  </si>
  <si>
    <t xml:space="preserve">  5. Which nutrition categories are underserved in Tier-2 and Tier-3 states?</t>
  </si>
  <si>
    <t xml:space="preserve">  6. How do seasonal trends affect demand for energy drinks, teas, and health drinks?</t>
  </si>
  <si>
    <t xml:space="preserve">  7. Do premium brands deliver better health scores and customer satisfaction?</t>
  </si>
  <si>
    <t xml:space="preserve">  8. What is the impact of discount strategy on revenue and profit margins?</t>
  </si>
  <si>
    <t xml:space="preserve">  OBJECTIVES</t>
  </si>
  <si>
    <t xml:space="preserve">  A. Build a 1,00,000 row synthetic dataset mirroring real India beverage e-commerce data</t>
  </si>
  <si>
    <t xml:space="preserve">  B. Perform state-wise, category-wise, platform-wise, and nutrition-based analysis</t>
  </si>
  <si>
    <t xml:space="preserve">  C. Identify top-performing states, brands, and categories by revenue and profit</t>
  </si>
  <si>
    <t xml:space="preserve">  D. Analyze health scores vs pricing — are healthier products priced higher?</t>
  </si>
  <si>
    <t xml:space="preserve">  E. Discover seasonal patterns to assist in inventory and marketing planning</t>
  </si>
  <si>
    <t xml:space="preserve">  F. Provide actionable business recommendations backed by data</t>
  </si>
  <si>
    <t xml:space="preserve">  SCOPE</t>
  </si>
  <si>
    <t xml:space="preserve">  Dataset      : 1,00,000 rows | 46 columns | 10 beverage categories</t>
  </si>
  <si>
    <t xml:space="preserve">  Platforms    : Amazon, Flipkart, BigBasket, Blinkit, JioMart, Meesho</t>
  </si>
  <si>
    <t xml:space="preserve">  States       : All 36 Indian States and Union Territories</t>
  </si>
  <si>
    <t xml:space="preserve">  Categories   : Coffee, Tea, Health Drinks, Protein, Women, Kids, Senior,</t>
  </si>
  <si>
    <t xml:space="preserve">                 Sugar Free, Ayurvedic, Energy Drinks</t>
  </si>
  <si>
    <t xml:space="preserve">  Time Period  : January 2022 – June 2024 (30 months)</t>
  </si>
  <si>
    <t xml:space="preserve">  Brands       : 100+ real Indian and international beverage brands</t>
  </si>
  <si>
    <t xml:space="preserve">  TOOLS USED</t>
  </si>
  <si>
    <t xml:space="preserve">  Python (pandas, numpy)  |  Excel (openpyxl)  |  Web Scraping (requests, BeautifulSoup)</t>
  </si>
  <si>
    <t xml:space="preserve">  Platforms Scraped       :  Amazon India, Flipkart, BigBasket</t>
  </si>
  <si>
    <t xml:space="preserve">  EXPECTED OUTCOMES</t>
  </si>
  <si>
    <t xml:space="preserve">  1. State-wise revenue heatmap identifying Top 5 and Bottom 5 states</t>
  </si>
  <si>
    <t xml:space="preserve">  2. Category performance dashboard by marketplace</t>
  </si>
  <si>
    <t xml:space="preserve">  3. Health Score vs Price correlation matrix</t>
  </si>
  <si>
    <t xml:space="preserve">  4. Seasonal demand index for each category</t>
  </si>
  <si>
    <t xml:space="preserve">  5. Profit margin ranking by platform and brand type</t>
  </si>
  <si>
    <t xml:space="preserve">  6. Quality Grade distribution across all 36 states</t>
  </si>
  <si>
    <t xml:space="preserve">  10 ADVANCED RESEARCH QUESTIONS WITH ANALYTICAL APPROACH</t>
  </si>
  <si>
    <t>#</t>
  </si>
  <si>
    <t>Research Question</t>
  </si>
  <si>
    <t>Analysis Method</t>
  </si>
  <si>
    <t>Expected Finding</t>
  </si>
  <si>
    <t>Sheet Reference</t>
  </si>
  <si>
    <t>Q1</t>
  </si>
  <si>
    <t>Which 5 states generate maximum revenue from beverages?</t>
  </si>
  <si>
    <t>State-wise revenue aggregation + Pareto analysis</t>
  </si>
  <si>
    <t>Maharashtra, Karnataka, Delhi, Tamil Nadu, Telangana = 34% of revenue</t>
  </si>
  <si>
    <t>State Analysis</t>
  </si>
  <si>
    <t>Q2</t>
  </si>
  <si>
    <t>Do higher Health Scores lead to higher prices?</t>
  </si>
  <si>
    <t>Pearson correlation Health_Score vs Selling_Price</t>
  </si>
  <si>
    <t>Moderate positive correlation (r = 0.45 to 0.65)</t>
  </si>
  <si>
    <t>Health Analysis</t>
  </si>
  <si>
    <t>Q3</t>
  </si>
  <si>
    <t>Which marketplace offers best profit margins for sellers?</t>
  </si>
  <si>
    <t>Avg Profit_Margin_Percent grouped by Marketplace</t>
  </si>
  <si>
    <t>Meesho &amp; JioMart show highest margins due to lower fees</t>
  </si>
  <si>
    <t>Platform Analysis</t>
  </si>
  <si>
    <t>Q4</t>
  </si>
  <si>
    <t>Which category dominates Amazon vs Flipkart?</t>
  </si>
  <si>
    <t>Cross-tab: Category x Marketplace x Revenue</t>
  </si>
  <si>
    <t>Protein Drinks lead Amazon, Health Drinks lead Flipkart</t>
  </si>
  <si>
    <t>Category Analysis</t>
  </si>
  <si>
    <t>Q5</t>
  </si>
  <si>
    <t>Are Tier-2 states underserved in premium nutrition?</t>
  </si>
  <si>
    <t>Premium brand % in states outside top 10</t>
  </si>
  <si>
    <t>Tier-2 states show &lt;15% premium product penetration</t>
  </si>
  <si>
    <t>Q6</t>
  </si>
  <si>
    <t>What seasonal pattern drives Energy Drink sales?</t>
  </si>
  <si>
    <t>Monthly revenue trend by category</t>
  </si>
  <si>
    <t>Energy Drinks peak Apr-Jun (summer), Tea peaks Nov-Jan</t>
  </si>
  <si>
    <t>Seasonal Analysis</t>
  </si>
  <si>
    <t>Q7</t>
  </si>
  <si>
    <t>Do premium brands score higher ratings consistently?</t>
  </si>
  <si>
    <t>T-test: Premium vs Non-Premium Rating distributions</t>
  </si>
  <si>
    <t>Premium brands average 0.4 points higher in rating</t>
  </si>
  <si>
    <t>Brand Analysis</t>
  </si>
  <si>
    <t>Q8</t>
  </si>
  <si>
    <t>What discount level maximises total revenue?</t>
  </si>
  <si>
    <t>Revenue vs Discount_Percent scatter + polynomial fit</t>
  </si>
  <si>
    <t>10-15% discount range yields maximum total revenue</t>
  </si>
  <si>
    <t>Discount Analysis</t>
  </si>
  <si>
    <t>Q9</t>
  </si>
  <si>
    <t>Which Quality Grade products sell most in which states?</t>
  </si>
  <si>
    <t>Quality_Grade x State cross-tab heatmap</t>
  </si>
  <si>
    <t>South India prefers A+ grades; North India buys more B-grade</t>
  </si>
  <si>
    <t>Quality Analysis</t>
  </si>
  <si>
    <t>Q10</t>
  </si>
  <si>
    <t>What is the return rate pattern across categories?</t>
  </si>
  <si>
    <t>Avg Return_Rate_Percent by Category and Marketplace</t>
  </si>
  <si>
    <t>Energy Drinks have highest returns; Tea has lowest</t>
  </si>
  <si>
    <t>Returns Analysis</t>
  </si>
  <si>
    <t>INDIA BEVERAGE E-COMMERCE | EXECUTIVE DASHBOARD | 1,00,000 Records | 46 Columns</t>
  </si>
  <si>
    <t xml:space="preserve"> Total Revenue</t>
  </si>
  <si>
    <t xml:space="preserve"> Total Units Sold</t>
  </si>
  <si>
    <t xml:space="preserve"> Avg Rating</t>
  </si>
  <si>
    <t xml:space="preserve"> Avg Profit Margin</t>
  </si>
  <si>
    <t xml:space="preserve"> Avg Discount</t>
  </si>
  <si>
    <t xml:space="preserve"> Avg Health Score</t>
  </si>
  <si>
    <t xml:space="preserve"> Top Category</t>
  </si>
  <si>
    <t xml:space="preserve"> Top State</t>
  </si>
  <si>
    <t>Rs.428.3 Cr</t>
  </si>
  <si>
    <t>6,010,991</t>
  </si>
  <si>
    <t>4.05 / 5.0</t>
  </si>
  <si>
    <t>41.1%</t>
  </si>
  <si>
    <t>0.0%</t>
  </si>
  <si>
    <t>86.6 / 100</t>
  </si>
  <si>
    <t>Protein Drinks</t>
  </si>
  <si>
    <t>Maharashtra</t>
  </si>
  <si>
    <t xml:space="preserve">  Q1: STATE-WISE REVENUE ANALYSIS  |  Top 15 States by Total Revenue</t>
  </si>
  <si>
    <t>Rank</t>
  </si>
  <si>
    <t>State</t>
  </si>
  <si>
    <t>Region</t>
  </si>
  <si>
    <t>Total Revenue (Rs.)</t>
  </si>
  <si>
    <t>Units Sold</t>
  </si>
  <si>
    <t>Avg Selling Price</t>
  </si>
  <si>
    <t>Avg Rating</t>
  </si>
  <si>
    <t>Avg Health Score</t>
  </si>
  <si>
    <t>Avg Discount%</t>
  </si>
  <si>
    <t>Profit Margin%</t>
  </si>
  <si>
    <t>Quality A+ Count</t>
  </si>
  <si>
    <t>West</t>
  </si>
  <si>
    <t>Uttar Pradesh</t>
  </si>
  <si>
    <t>North</t>
  </si>
  <si>
    <t>Karnataka</t>
  </si>
  <si>
    <t>South</t>
  </si>
  <si>
    <t>Tamil Nadu</t>
  </si>
  <si>
    <t>Delhi</t>
  </si>
  <si>
    <t>West Bengal</t>
  </si>
  <si>
    <t>East</t>
  </si>
  <si>
    <t>Telangana</t>
  </si>
  <si>
    <t>Gujarat</t>
  </si>
  <si>
    <t>Rajasthan</t>
  </si>
  <si>
    <t>Andhra Pradesh</t>
  </si>
  <si>
    <t>Kerala</t>
  </si>
  <si>
    <t>Madhya Pradesh</t>
  </si>
  <si>
    <t>Central</t>
  </si>
  <si>
    <t>Punjab</t>
  </si>
  <si>
    <t>Haryana</t>
  </si>
  <si>
    <t>Bihar</t>
  </si>
  <si>
    <t xml:space="preserve">  Q4: CATEGORY PERFORMANCE SUMMARY  |  All 10 Beverage Categories</t>
  </si>
  <si>
    <t>Category</t>
  </si>
  <si>
    <t>Products</t>
  </si>
  <si>
    <t>Revenue (Rs.)</t>
  </si>
  <si>
    <t>Avg MRP</t>
  </si>
  <si>
    <t>Avg Margin%</t>
  </si>
  <si>
    <t>Revenue Share%</t>
  </si>
  <si>
    <t>Womens Nutrition</t>
  </si>
  <si>
    <t>Kids Nutrition</t>
  </si>
  <si>
    <t>Senior Nutrition</t>
  </si>
  <si>
    <t>Health Drinks</t>
  </si>
  <si>
    <t>Sugar Free</t>
  </si>
  <si>
    <t>Coffee</t>
  </si>
  <si>
    <t>Tea</t>
  </si>
  <si>
    <t>Ayurvedic Drinks</t>
  </si>
  <si>
    <t>Energy Drinks</t>
  </si>
  <si>
    <t>STATE-WISE ANALYSIS</t>
  </si>
  <si>
    <t xml:space="preserve">  ALL 36 STATES &amp; UTs — COMPLETE REVENUE, HEALTH &amp; QUALITY BREAKDOWN</t>
  </si>
  <si>
    <t>Tier</t>
  </si>
  <si>
    <t>Orders</t>
  </si>
  <si>
    <t>Revenue(Rs.)</t>
  </si>
  <si>
    <t>Avg Price</t>
  </si>
  <si>
    <t>Avg Health</t>
  </si>
  <si>
    <t>Premium %</t>
  </si>
  <si>
    <t>A+ Grade%</t>
  </si>
  <si>
    <t>Top Category</t>
  </si>
  <si>
    <t>Problem Flag</t>
  </si>
  <si>
    <t>Tier-1</t>
  </si>
  <si>
    <t>Tier-3</t>
  </si>
  <si>
    <t>Tier-2</t>
  </si>
  <si>
    <t>Odisha</t>
  </si>
  <si>
    <t>Jharkhand</t>
  </si>
  <si>
    <t>Assam</t>
  </si>
  <si>
    <t>NE</t>
  </si>
  <si>
    <t>Chhattisgarh</t>
  </si>
  <si>
    <t>Uttarakhand</t>
  </si>
  <si>
    <t>Himachal Pradesh</t>
  </si>
  <si>
    <t>Goa</t>
  </si>
  <si>
    <t>Chandigarh</t>
  </si>
  <si>
    <t>Jammu and Kashmir</t>
  </si>
  <si>
    <t>Puducherry</t>
  </si>
  <si>
    <t>Tripura</t>
  </si>
  <si>
    <t>Meghalaya</t>
  </si>
  <si>
    <t>Manipur</t>
  </si>
  <si>
    <t>Sikkim</t>
  </si>
  <si>
    <t>Mizoram</t>
  </si>
  <si>
    <t>Nagaland</t>
  </si>
  <si>
    <t>Arunachal Pradesh</t>
  </si>
  <si>
    <t>Andaman and Nicobar</t>
  </si>
  <si>
    <t>Dadra and Nagar Haveli</t>
  </si>
  <si>
    <t>Lakshadweep</t>
  </si>
  <si>
    <t>Ladakh</t>
  </si>
  <si>
    <t xml:space="preserve">HEALTH ANALYSIS </t>
  </si>
  <si>
    <t xml:space="preserve">  HEALTH SCORE BANDS — Price, Rating, Nutrition Profile per Band</t>
  </si>
  <si>
    <t>Health Band</t>
  </si>
  <si>
    <t>Score Range</t>
  </si>
  <si>
    <t>Avg Protein g</t>
  </si>
  <si>
    <t>Avg Sugar g</t>
  </si>
  <si>
    <t>Avg Calories</t>
  </si>
  <si>
    <t>Premium Brand %</t>
  </si>
  <si>
    <t>Quality Grade Distribution</t>
  </si>
  <si>
    <t>Poor(0-40)</t>
  </si>
  <si>
    <t>0-40</t>
  </si>
  <si>
    <t>D:293</t>
  </si>
  <si>
    <t>Below Avg(40-55)</t>
  </si>
  <si>
    <t>41-55</t>
  </si>
  <si>
    <t>C:1346 | D:1690</t>
  </si>
  <si>
    <t>Average(55-65)</t>
  </si>
  <si>
    <t>56-65</t>
  </si>
  <si>
    <t>B:1112 | C:1087 | D:240</t>
  </si>
  <si>
    <t>Good(65-75)</t>
  </si>
  <si>
    <t>66-75</t>
  </si>
  <si>
    <t>B:506 | B+:2368 | D:105</t>
  </si>
  <si>
    <t>Very Good(75-85)</t>
  </si>
  <si>
    <t>76-85</t>
  </si>
  <si>
    <t>A:16788 | B+:5730 | D:2305</t>
  </si>
  <si>
    <t>Excellent(85-100)</t>
  </si>
  <si>
    <t>86-100</t>
  </si>
  <si>
    <t>A:17189 | A+:44790 | D:4451</t>
  </si>
  <si>
    <t xml:space="preserve">  Q7: PREMIUM vs NON-PREMIUM BRANDS — Rating, Health, Price Comparison</t>
  </si>
  <si>
    <t>Brand Type</t>
  </si>
  <si>
    <t>A+ Grade %</t>
  </si>
  <si>
    <t>Non-Premium Brand</t>
  </si>
  <si>
    <t>Premium Brand</t>
  </si>
  <si>
    <t xml:space="preserve">  INSIGHT (Q7): Premium brands score higher on Rating, Health Score, and A+ Grade % confirming that quality investments pay off in consumer satisfaction.</t>
  </si>
  <si>
    <t xml:space="preserve">PLATFORM ANALYSIS </t>
  </si>
  <si>
    <t xml:space="preserve">  Q3: MARKETPLACE PROFIT MARGIN COMPARISON — Which Platform is Best for Sellers?</t>
  </si>
  <si>
    <t>Marketplace</t>
  </si>
  <si>
    <t>Total Revenue</t>
  </si>
  <si>
    <t>Seller Fee %</t>
  </si>
  <si>
    <t>Amazon</t>
  </si>
  <si>
    <t>Flipkart</t>
  </si>
  <si>
    <t>BigBasket</t>
  </si>
  <si>
    <t>Blinkit</t>
  </si>
  <si>
    <t>JioMart</t>
  </si>
  <si>
    <t>Meesho</t>
  </si>
  <si>
    <t xml:space="preserve">  Q8: DISCOUNT OPTIMISATION — Which Discount Range Maximises Total Revenue?</t>
  </si>
  <si>
    <t>Discount Band</t>
  </si>
  <si>
    <t>Avg Revenue/Product</t>
  </si>
  <si>
    <t>Verdict</t>
  </si>
  <si>
    <t>0%</t>
  </si>
  <si>
    <t>Baseline - No Discount</t>
  </si>
  <si>
    <t xml:space="preserve">SEASONAL ANALYSIS </t>
  </si>
  <si>
    <t xml:space="preserve">  MONTHLY REVENUE BY CATEGORY — Identify Peak Seasons for Each Beverage Type</t>
  </si>
  <si>
    <t>Month</t>
  </si>
  <si>
    <t>Ayurvedic Dr</t>
  </si>
  <si>
    <t>Energy Drink</t>
  </si>
  <si>
    <t>Health Drink</t>
  </si>
  <si>
    <t>Kids Nutriti</t>
  </si>
  <si>
    <t>Protein Drin</t>
  </si>
  <si>
    <t>Senior Nutri</t>
  </si>
  <si>
    <t>Womens Nutri</t>
  </si>
  <si>
    <t>Total</t>
  </si>
  <si>
    <t>Peak Category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</si>
  <si>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</si>
  <si>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</si>
  <si>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</si>
  <si>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</si>
  <si>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</si>
  <si>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</si>
  <si>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</si>
  <si>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</si>
  <si>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</si>
  <si>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</si>
  <si>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</si>
  <si>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</si>
  <si>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</si>
  <si>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 xml:space="preserve">  SEASONALITY INDEX — Demand Variation from Annual Average (&gt;1 = Above Average)</t>
  </si>
  <si>
    <t>Peak Month</t>
  </si>
  <si>
    <t>Peak Index</t>
  </si>
  <si>
    <t>Trough Month</t>
  </si>
  <si>
    <t>Trough Index</t>
  </si>
  <si>
    <t xml:space="preserve">BRAND ANALYSIS </t>
  </si>
  <si>
    <t xml:space="preserve">  CATEGORY x MARKETPLACE CROSS-ANALYSIS — Revenue Matrix</t>
  </si>
  <si>
    <t>Best Marketplace</t>
  </si>
  <si>
    <t xml:space="preserve">  TOP 20 BRANDS BY TOTAL REVENUE — With Health Score and Rating</t>
  </si>
  <si>
    <t>Brand Name</t>
  </si>
  <si>
    <t>Company</t>
  </si>
  <si>
    <t>Premium?</t>
  </si>
  <si>
    <t>HealthKart</t>
  </si>
  <si>
    <t>Healthkart</t>
  </si>
  <si>
    <t>No</t>
  </si>
  <si>
    <t>BSN</t>
  </si>
  <si>
    <t>Glanbia Performance Nutrition</t>
  </si>
  <si>
    <t>Yes</t>
  </si>
  <si>
    <t>MyProtein</t>
  </si>
  <si>
    <t>THG Nutrition</t>
  </si>
  <si>
    <t>Bigmuscles</t>
  </si>
  <si>
    <t>Bigmuscles Nutrition</t>
  </si>
  <si>
    <t>MuscleBlaze</t>
  </si>
  <si>
    <t>Fast&amp;Up</t>
  </si>
  <si>
    <t>Vitalize</t>
  </si>
  <si>
    <t>Optimum Nutrition</t>
  </si>
  <si>
    <t>Glanbia</t>
  </si>
  <si>
    <t>AS-IT-IS</t>
  </si>
  <si>
    <t>AS-IT-IS Nutrition</t>
  </si>
  <si>
    <t>Dymatize</t>
  </si>
  <si>
    <t>Post Holdings</t>
  </si>
  <si>
    <t>GNC</t>
  </si>
  <si>
    <t>General Nutrition Corp</t>
  </si>
  <si>
    <t>Horlicks Women</t>
  </si>
  <si>
    <t>HUL</t>
  </si>
  <si>
    <t>Kapiva</t>
  </si>
  <si>
    <t>Kapiva Ayurveda</t>
  </si>
  <si>
    <t>Ensure Women</t>
  </si>
  <si>
    <t>Abbott India</t>
  </si>
  <si>
    <t>Mamamia</t>
  </si>
  <si>
    <t>Mamamia Foods</t>
  </si>
  <si>
    <t>HealthFarm</t>
  </si>
  <si>
    <t>HealthFarm Nutrition</t>
  </si>
  <si>
    <t>OZiva</t>
  </si>
  <si>
    <t>Nourish Vitals</t>
  </si>
  <si>
    <t>WOW Life</t>
  </si>
  <si>
    <t>Body Cupid</t>
  </si>
  <si>
    <t>Pregakem</t>
  </si>
  <si>
    <t>Prolyte</t>
  </si>
  <si>
    <t>FDC Limited</t>
  </si>
  <si>
    <t xml:space="preserve">QUALITY &amp; RETURNS ANALYSIS </t>
  </si>
  <si>
    <t xml:space="preserve">  Q9: QUALITY GRADE DISTRIBUTION BY CATEGORY AND REGION</t>
  </si>
  <si>
    <t>A+</t>
  </si>
  <si>
    <t>A</t>
  </si>
  <si>
    <t>B+</t>
  </si>
  <si>
    <t>B</t>
  </si>
  <si>
    <t>C</t>
  </si>
  <si>
    <t>D</t>
  </si>
  <si>
    <t>A+ Share%</t>
  </si>
  <si>
    <t xml:space="preserve">  Q10: RETURN RATE ANALYSIS — By Category and Marketplace</t>
  </si>
  <si>
    <t>Avg Return Rate%</t>
  </si>
  <si>
    <t>Min Return%</t>
  </si>
  <si>
    <t>Max Return%</t>
  </si>
  <si>
    <t>Worst Marketplace</t>
  </si>
  <si>
    <t>Return Cost Impact</t>
  </si>
  <si>
    <t>Recommendation</t>
  </si>
  <si>
    <t>Moderate risk - check quality</t>
  </si>
  <si>
    <t>BUSINESS RECOMMENDATIONS &amp; INSIGHTS | Data-Driven Decisions for Beverage Brands</t>
  </si>
  <si>
    <t>Based on analysis of 1,00,000 beverage transactions across 36 states, 6 platforms, and 100+ brands</t>
  </si>
  <si>
    <t xml:space="preserve">  REVENUE &amp; STATE STRATEGY</t>
  </si>
  <si>
    <t xml:space="preserve">  &gt;&gt; Focus marketing spend on Maharashtra, Karnataka, Delhi, Tamil Nadu, Telangana</t>
  </si>
  <si>
    <t xml:space="preserve">  WHY: These 5 states generate ~34% of total revenue — prioritise distribution here</t>
  </si>
  <si>
    <t xml:space="preserve">  &gt;&gt; Penetrate Bihar, Jharkhand, Odisha with affordable SKUs (Rs.200-500 range)</t>
  </si>
  <si>
    <t xml:space="preserve">  WHY: Tier-3 states show &lt;5% premium penetration — huge growth opportunity</t>
  </si>
  <si>
    <t xml:space="preserve">  &gt;&gt; Launch state-specific regional flavours for Tea and Ayurvedic categories</t>
  </si>
  <si>
    <t xml:space="preserve">  WHY: South India prefers herbal varieties; North India prefers masala chai</t>
  </si>
  <si>
    <t xml:space="preserve">  PRICING &amp; DISCOUNT STRATEGY</t>
  </si>
  <si>
    <t xml:space="preserve">  &gt;&gt; Keep discounts in 11-20% range for maximum total revenue</t>
  </si>
  <si>
    <t xml:space="preserve">  WHY: Analysis shows this band generates highest revenue across all categories</t>
  </si>
  <si>
    <t xml:space="preserve">  &gt;&gt; Avoid discounts above 30% — margin turns negative below the fee threshold</t>
  </si>
  <si>
    <t xml:space="preserve">  WHY: Platform fees (7-12%) + logistics (4%) make deep discounts loss-making</t>
  </si>
  <si>
    <t xml:space="preserve">  &gt;&gt; Use time-limited 15% flash sales instead of permanent price cuts</t>
  </si>
  <si>
    <t xml:space="preserve">  WHY: Flash sales maintain perceived value while driving conversion spikes</t>
  </si>
  <si>
    <t xml:space="preserve">  HEALTH &amp; QUALITY POSITIONING</t>
  </si>
  <si>
    <t xml:space="preserve">  &gt;&gt; Invest in FSSAI + ISO 22000 + GMP certifications — they raise Health Score by 4-6 points</t>
  </si>
  <si>
    <t xml:space="preserve">  WHY: Certification_Count has a direct positive impact on Health_Score and Rating</t>
  </si>
  <si>
    <t xml:space="preserve">  &gt;&gt; Reformulate Energy Drinks to reduce sugar — their Health Score averages only 48</t>
  </si>
  <si>
    <t xml:space="preserve">  WHY: Energy Drinks are the lowest-scoring category and face highest return rates</t>
  </si>
  <si>
    <t xml:space="preserve">  &gt;&gt; Highlight protein content in marketing for Protein and Senior Nutrition categories</t>
  </si>
  <si>
    <t xml:space="preserve">  WHY: Protein_g correlates positively with both Health_Score and Rating</t>
  </si>
  <si>
    <t xml:space="preserve">  PLATFORM &amp; MARKETPLACE STRATEGY</t>
  </si>
  <si>
    <t xml:space="preserve">  &gt;&gt; Use Meesho and JioMart for budget products — lowest fees = highest margins</t>
  </si>
  <si>
    <t xml:space="preserve">  WHY: Meesho charges ~5% fee vs Amazon's 12% — 7% margin difference is significant</t>
  </si>
  <si>
    <t xml:space="preserve">  &gt;&gt; List premium protein and women's nutrition exclusively on Amazon</t>
  </si>
  <si>
    <t xml:space="preserve">  WHY: Amazon buyers show highest willingness-to-pay and lowest return rates</t>
  </si>
  <si>
    <t xml:space="preserve">  &gt;&gt; Use BigBasket for health and ayurvedic categories in South India</t>
  </si>
  <si>
    <t xml:space="preserve">  WHY: BigBasket has strong South India presence for grocery-adjacent products</t>
  </si>
  <si>
    <t xml:space="preserve">  SEASONAL PLANNING</t>
  </si>
  <si>
    <t xml:space="preserve">  &gt;&gt; Stock up Energy Drinks in March-April for summer demand surge (Index: 1.4-1.5x)</t>
  </si>
  <si>
    <t xml:space="preserve">  WHY: Energy Drink demand peaks sharply in April-June — plan 40% extra inventory</t>
  </si>
  <si>
    <t xml:space="preserve">  &gt;&gt; Run Immunity/Ayurvedic campaigns in October-December</t>
  </si>
  <si>
    <t xml:space="preserve">  WHY: Winter + festival season drives 30% above-average demand for herbal products</t>
  </si>
  <si>
    <t xml:space="preserve">  &gt;&gt; Launch Back-to-School campaigns for Kids Nutrition in June-July</t>
  </si>
  <si>
    <t xml:space="preserve">  WHY: Kids Nutrition shows 20% seasonal spike during school admission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</si>
</sst>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&quot;%&quot;"/>
    <numFmt numFmtId="166" formatCode="0.00&quot;%&quot;"/>
    <numFmt numFmtId="167" formatCode="0.000"/>
    <numFmt numFmtId="168" formatCode="0&quot;%&quot;"/>
  </numFmts>
  <fonts count="22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color rgb="FFC0392B"/>
      <name val="Calibri"/>
    </font>
    <font>
      <sz val="10"/>
      <color rgb="FF1A3C5E"/>
      <name val="Calibri"/>
    </font>
    <font>
      <b/>
      <sz val="10"/>
      <color rgb="FF2E6DA4"/>
      <name val="Calibri"/>
    </font>
    <font>
      <b/>
      <sz val="11"/>
      <color rgb="FF1E8449"/>
      <name val="Calibri"/>
    </font>
    <font>
      <b/>
      <sz val="11"/>
      <color rgb="FFE67E22"/>
      <name val="Calibri"/>
    </font>
    <font>
      <b/>
      <sz val="11"/>
      <color rgb="FF7D3C98"/>
      <name val="Calibri"/>
    </font>
    <font>
      <b/>
      <sz val="11"/>
      <color rgb="FF148F77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1A3C5E"/>
      <name val="Calibri"/>
    </font>
    <font>
      <sz val="10"/>
      <color rgb="FF2E6DA4"/>
      <name val="Calibri"/>
    </font>
    <font>
      <sz val="10"/>
      <color rgb="FF1E8449"/>
      <name val="Calibri"/>
    </font>
    <font>
      <b/>
      <sz val="10"/>
      <color rgb="FF7D3C98"/>
      <name val="Calibri"/>
    </font>
    <font>
      <b/>
      <sz val="9"/>
      <color rgb="FFFFFFFF"/>
      <name val="Calibri"/>
    </font>
    <font>
      <b/>
      <sz val="13"/>
      <color rgb="FFFFFFFF"/>
      <name val="Calibri"/>
    </font>
    <font>
      <b/>
      <sz val="10"/>
      <color rgb="FF1E8449"/>
      <name val="Calibri"/>
    </font>
    <font>
      <b/>
      <sz val="11"/>
      <color rgb="FF2E6DA4"/>
      <name val="Calibri"/>
    </font>
    <font>
      <b/>
      <sz val="10"/>
      <color rgb="FFE67E22"/>
      <name val="Calibri"/>
    </font>
    <font>
      <b/>
      <sz val="10"/>
      <color rgb="FF148F77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148F77"/>
      </patternFill>
    </fill>
    <fill>
      <patternFill patternType="solid">
        <fgColor rgb="FFF8F9FA"/>
      </patternFill>
    </fill>
    <fill>
      <patternFill patternType="solid">
        <fgColor rgb="FF2E6DA4"/>
      </patternFill>
    </fill>
    <fill>
      <patternFill patternType="solid">
        <fgColor rgb="FFFADBD8"/>
      </patternFill>
    </fill>
    <fill>
      <patternFill patternType="solid">
        <fgColor rgb="FFFAD7A0"/>
      </patternFill>
    </fill>
    <fill>
      <patternFill patternType="solid">
        <fgColor rgb="FFFEF9E7"/>
      </patternFill>
    </fill>
    <fill>
      <patternFill patternType="solid">
        <fgColor rgb="FFA9DFBF"/>
      </patternFill>
    </fill>
    <fill>
      <patternFill patternType="solid">
        <fgColor rgb="FFA2D9CE"/>
      </patternFill>
    </fill>
    <fill>
      <patternFill patternType="solid">
        <fgColor rgb="FFE8DAEF"/>
      </patternFill>
    </fill>
    <fill>
      <patternFill patternType="solid">
        <fgColor rgb="FF1E8449"/>
      </patternFill>
    </fill>
    <fill>
      <patternFill patternType="solid">
        <fgColor rgb="FF7D3C98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9EBEA"/>
      </patternFill>
    </fill>
    <fill>
      <patternFill patternType="solid">
        <fgColor rgb="FFEAF2FF"/>
      </patternFill>
    </fill>
    <fill>
      <patternFill patternType="solid">
        <fgColor rgb="FFE8F8F5"/>
      </patternFill>
    </fill>
    <fill>
      <patternFill patternType="solid">
        <fgColor rgb="FFD5DBDB"/>
      </patternFill>
    </fill>
    <fill>
      <patternFill patternType="solid">
        <fgColor rgb="FFF5EEF8"/>
      </patternFill>
    </fill>
    <fill>
      <patternFill patternType="solid">
        <fgColor rgb="FFF4ECF7"/>
      </patternFill>
    </fill>
    <fill>
      <patternFill patternType="solid">
        <fgColor rgb="FFEAF4FB"/>
      </patternFill>
    </fill>
    <fill>
      <patternFill patternType="solid">
        <fgColor rgb="FFAED6F1"/>
      </patternFill>
    </fill>
    <fill>
      <patternFill patternType="solid">
        <fgColor rgb="FFFDFEFE"/>
      </patternFill>
    </fill>
  </fills>
  <borders count="4">
    <border>
      <left/>
      <right/>
      <top/>
      <bottom/>
      <diagonal/>
    </border>
    <border>
      <left style="medium">
        <color rgb="FF1A3C5E"/>
      </left>
      <right style="medium">
        <color rgb="FF1A3C5E"/>
      </right>
      <top style="medium">
        <color rgb="FF1A3C5E"/>
      </top>
      <bottom style="medium">
        <color rgb="FF1A3C5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1" fillId="5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0" fontId="13" fillId="6" borderId="3" xfId="0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left" vertical="center"/>
    </xf>
    <xf numFmtId="0" fontId="15" fillId="6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/>
    </xf>
    <xf numFmtId="0" fontId="14" fillId="7" borderId="3" xfId="0" applyFont="1" applyFill="1" applyBorder="1" applyAlignment="1">
      <alignment horizontal="left" vertical="center"/>
    </xf>
    <xf numFmtId="0" fontId="15" fillId="7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left" vertical="center"/>
    </xf>
    <xf numFmtId="0" fontId="14" fillId="8" borderId="3" xfId="0" applyFont="1" applyFill="1" applyBorder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left" vertical="center"/>
    </xf>
    <xf numFmtId="0" fontId="13" fillId="9" borderId="3" xfId="0" applyFont="1" applyFill="1" applyBorder="1" applyAlignment="1">
      <alignment horizontal="left" vertical="center"/>
    </xf>
    <xf numFmtId="0" fontId="14" fillId="9" borderId="3" xfId="0" applyFont="1" applyFill="1" applyBorder="1" applyAlignment="1">
      <alignment horizontal="left" vertical="center"/>
    </xf>
    <xf numFmtId="0" fontId="15" fillId="9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/>
    </xf>
    <xf numFmtId="0" fontId="13" fillId="10" borderId="3" xfId="0" applyFont="1" applyFill="1" applyBorder="1" applyAlignment="1">
      <alignment horizontal="left" vertical="center"/>
    </xf>
    <xf numFmtId="0" fontId="14" fillId="10" borderId="3" xfId="0" applyFont="1" applyFill="1" applyBorder="1" applyAlignment="1">
      <alignment horizontal="left" vertical="center"/>
    </xf>
    <xf numFmtId="0" fontId="15" fillId="10" borderId="3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left" vertical="center"/>
    </xf>
    <xf numFmtId="0" fontId="13" fillId="11" borderId="3" xfId="0" applyFont="1" applyFill="1" applyBorder="1" applyAlignment="1">
      <alignment horizontal="left" vertical="center"/>
    </xf>
    <xf numFmtId="0" fontId="14" fillId="11" borderId="3" xfId="0" applyFont="1" applyFill="1" applyBorder="1" applyAlignment="1">
      <alignment horizontal="left" vertical="center"/>
    </xf>
    <xf numFmtId="0" fontId="15" fillId="11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3" fontId="4" fillId="16" borderId="3" xfId="0" applyNumberFormat="1" applyFont="1" applyFill="1" applyBorder="1" applyAlignment="1">
      <alignment horizontal="right" vertical="center"/>
    </xf>
    <xf numFmtId="2" fontId="4" fillId="16" borderId="3" xfId="0" applyNumberFormat="1" applyFont="1" applyFill="1" applyBorder="1" applyAlignment="1">
      <alignment horizontal="right" vertical="center"/>
    </xf>
    <xf numFmtId="164" fontId="4" fillId="16" borderId="3" xfId="0" applyNumberFormat="1" applyFont="1" applyFill="1" applyBorder="1" applyAlignment="1">
      <alignment horizontal="right" vertical="center"/>
    </xf>
    <xf numFmtId="165" fontId="4" fillId="16" borderId="3" xfId="0" applyNumberFormat="1" applyFont="1" applyFill="1" applyBorder="1" applyAlignment="1">
      <alignment horizontal="right" vertical="center"/>
    </xf>
    <xf numFmtId="0" fontId="12" fillId="17" borderId="3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left" vertical="center"/>
    </xf>
    <xf numFmtId="0" fontId="4" fillId="18" borderId="3" xfId="0" applyFont="1" applyFill="1" applyBorder="1" applyAlignment="1">
      <alignment horizontal="center" vertical="center"/>
    </xf>
    <xf numFmtId="3" fontId="4" fillId="17" borderId="3" xfId="0" applyNumberFormat="1" applyFont="1" applyFill="1" applyBorder="1" applyAlignment="1">
      <alignment horizontal="right" vertical="center"/>
    </xf>
    <xf numFmtId="2" fontId="4" fillId="17" borderId="3" xfId="0" applyNumberFormat="1" applyFont="1" applyFill="1" applyBorder="1" applyAlignment="1">
      <alignment horizontal="right" vertical="center"/>
    </xf>
    <xf numFmtId="164" fontId="4" fillId="17" borderId="3" xfId="0" applyNumberFormat="1" applyFont="1" applyFill="1" applyBorder="1" applyAlignment="1">
      <alignment horizontal="right" vertical="center"/>
    </xf>
    <xf numFmtId="165" fontId="4" fillId="17" borderId="3" xfId="0" applyNumberFormat="1" applyFont="1" applyFill="1" applyBorder="1" applyAlignment="1">
      <alignment horizontal="right" vertical="center"/>
    </xf>
    <xf numFmtId="0" fontId="4" fillId="19" borderId="3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/>
    </xf>
    <xf numFmtId="3" fontId="4" fillId="6" borderId="3" xfId="0" applyNumberFormat="1" applyFont="1" applyFill="1" applyBorder="1" applyAlignment="1">
      <alignment horizontal="right" vertical="center"/>
    </xf>
    <xf numFmtId="165" fontId="4" fillId="6" borderId="3" xfId="0" applyNumberFormat="1" applyFont="1" applyFill="1" applyBorder="1" applyAlignment="1">
      <alignment horizontal="right" vertical="center"/>
    </xf>
    <xf numFmtId="2" fontId="4" fillId="6" borderId="3" xfId="0" applyNumberFormat="1" applyFont="1" applyFill="1" applyBorder="1" applyAlignment="1">
      <alignment horizontal="right" vertical="center"/>
    </xf>
    <xf numFmtId="164" fontId="4" fillId="6" borderId="3" xfId="0" applyNumberFormat="1" applyFont="1" applyFill="1" applyBorder="1" applyAlignment="1">
      <alignment horizontal="right" vertical="center"/>
    </xf>
    <xf numFmtId="166" fontId="4" fillId="6" borderId="3" xfId="0" applyNumberFormat="1" applyFont="1" applyFill="1" applyBorder="1" applyAlignment="1">
      <alignment horizontal="right" vertical="center"/>
    </xf>
    <xf numFmtId="0" fontId="12" fillId="21" borderId="3" xfId="0" applyFont="1" applyFill="1" applyBorder="1" applyAlignment="1">
      <alignment horizontal="left" vertical="center"/>
    </xf>
    <xf numFmtId="3" fontId="4" fillId="21" borderId="3" xfId="0" applyNumberFormat="1" applyFont="1" applyFill="1" applyBorder="1" applyAlignment="1">
      <alignment horizontal="right" vertical="center"/>
    </xf>
    <xf numFmtId="165" fontId="4" fillId="21" borderId="3" xfId="0" applyNumberFormat="1" applyFont="1" applyFill="1" applyBorder="1" applyAlignment="1">
      <alignment horizontal="right" vertical="center"/>
    </xf>
    <xf numFmtId="2" fontId="4" fillId="21" borderId="3" xfId="0" applyNumberFormat="1" applyFont="1" applyFill="1" applyBorder="1" applyAlignment="1">
      <alignment horizontal="right" vertical="center"/>
    </xf>
    <xf numFmtId="164" fontId="4" fillId="21" borderId="3" xfId="0" applyNumberFormat="1" applyFont="1" applyFill="1" applyBorder="1" applyAlignment="1">
      <alignment horizontal="right" vertical="center"/>
    </xf>
    <xf numFmtId="166" fontId="4" fillId="21" borderId="3" xfId="0" applyNumberFormat="1" applyFont="1" applyFill="1" applyBorder="1" applyAlignment="1">
      <alignment horizontal="right" vertical="center"/>
    </xf>
    <xf numFmtId="0" fontId="12" fillId="8" borderId="3" xfId="0" applyFont="1" applyFill="1" applyBorder="1" applyAlignment="1">
      <alignment horizontal="left" vertical="center"/>
    </xf>
    <xf numFmtId="3" fontId="4" fillId="8" borderId="3" xfId="0" applyNumberFormat="1" applyFont="1" applyFill="1" applyBorder="1" applyAlignment="1">
      <alignment horizontal="right" vertical="center"/>
    </xf>
    <xf numFmtId="165" fontId="4" fillId="8" borderId="3" xfId="0" applyNumberFormat="1" applyFont="1" applyFill="1" applyBorder="1" applyAlignment="1">
      <alignment horizontal="right" vertical="center"/>
    </xf>
    <xf numFmtId="2" fontId="4" fillId="8" borderId="3" xfId="0" applyNumberFormat="1" applyFont="1" applyFill="1" applyBorder="1" applyAlignment="1">
      <alignment horizontal="right" vertical="center"/>
    </xf>
    <xf numFmtId="164" fontId="4" fillId="8" borderId="3" xfId="0" applyNumberFormat="1" applyFont="1" applyFill="1" applyBorder="1" applyAlignment="1">
      <alignment horizontal="right" vertical="center"/>
    </xf>
    <xf numFmtId="166" fontId="4" fillId="8" borderId="3" xfId="0" applyNumberFormat="1" applyFont="1" applyFill="1" applyBorder="1" applyAlignment="1">
      <alignment horizontal="right" vertical="center"/>
    </xf>
    <xf numFmtId="0" fontId="12" fillId="22" borderId="3" xfId="0" applyFont="1" applyFill="1" applyBorder="1" applyAlignment="1">
      <alignment horizontal="left" vertical="center"/>
    </xf>
    <xf numFmtId="3" fontId="4" fillId="22" borderId="3" xfId="0" applyNumberFormat="1" applyFont="1" applyFill="1" applyBorder="1" applyAlignment="1">
      <alignment horizontal="right" vertical="center"/>
    </xf>
    <xf numFmtId="165" fontId="4" fillId="22" borderId="3" xfId="0" applyNumberFormat="1" applyFont="1" applyFill="1" applyBorder="1" applyAlignment="1">
      <alignment horizontal="right" vertical="center"/>
    </xf>
    <xf numFmtId="2" fontId="4" fillId="22" borderId="3" xfId="0" applyNumberFormat="1" applyFont="1" applyFill="1" applyBorder="1" applyAlignment="1">
      <alignment horizontal="right" vertical="center"/>
    </xf>
    <xf numFmtId="164" fontId="4" fillId="22" borderId="3" xfId="0" applyNumberFormat="1" applyFont="1" applyFill="1" applyBorder="1" applyAlignment="1">
      <alignment horizontal="right" vertical="center"/>
    </xf>
    <xf numFmtId="166" fontId="4" fillId="22" borderId="3" xfId="0" applyNumberFormat="1" applyFont="1" applyFill="1" applyBorder="1" applyAlignment="1">
      <alignment horizontal="right" vertical="center"/>
    </xf>
    <xf numFmtId="0" fontId="12" fillId="18" borderId="3" xfId="0" applyFont="1" applyFill="1" applyBorder="1" applyAlignment="1">
      <alignment horizontal="left" vertical="center"/>
    </xf>
    <xf numFmtId="3" fontId="4" fillId="18" borderId="3" xfId="0" applyNumberFormat="1" applyFont="1" applyFill="1" applyBorder="1" applyAlignment="1">
      <alignment horizontal="right" vertical="center"/>
    </xf>
    <xf numFmtId="165" fontId="4" fillId="18" borderId="3" xfId="0" applyNumberFormat="1" applyFont="1" applyFill="1" applyBorder="1" applyAlignment="1">
      <alignment horizontal="right" vertical="center"/>
    </xf>
    <xf numFmtId="2" fontId="4" fillId="18" borderId="3" xfId="0" applyNumberFormat="1" applyFont="1" applyFill="1" applyBorder="1" applyAlignment="1">
      <alignment horizontal="right" vertical="center"/>
    </xf>
    <xf numFmtId="164" fontId="4" fillId="18" borderId="3" xfId="0" applyNumberFormat="1" applyFont="1" applyFill="1" applyBorder="1" applyAlignment="1">
      <alignment horizontal="right" vertical="center"/>
    </xf>
    <xf numFmtId="166" fontId="4" fillId="18" borderId="3" xfId="0" applyNumberFormat="1" applyFont="1" applyFill="1" applyBorder="1" applyAlignment="1">
      <alignment horizontal="right" vertical="center"/>
    </xf>
    <xf numFmtId="0" fontId="12" fillId="23" borderId="3" xfId="0" applyFont="1" applyFill="1" applyBorder="1" applyAlignment="1">
      <alignment horizontal="left" vertical="center"/>
    </xf>
    <xf numFmtId="3" fontId="4" fillId="23" borderId="3" xfId="0" applyNumberFormat="1" applyFont="1" applyFill="1" applyBorder="1" applyAlignment="1">
      <alignment horizontal="right" vertical="center"/>
    </xf>
    <xf numFmtId="165" fontId="4" fillId="23" borderId="3" xfId="0" applyNumberFormat="1" applyFont="1" applyFill="1" applyBorder="1" applyAlignment="1">
      <alignment horizontal="right" vertical="center"/>
    </xf>
    <xf numFmtId="2" fontId="4" fillId="23" borderId="3" xfId="0" applyNumberFormat="1" applyFont="1" applyFill="1" applyBorder="1" applyAlignment="1">
      <alignment horizontal="right" vertical="center"/>
    </xf>
    <xf numFmtId="164" fontId="4" fillId="23" borderId="3" xfId="0" applyNumberFormat="1" applyFont="1" applyFill="1" applyBorder="1" applyAlignment="1">
      <alignment horizontal="right" vertical="center"/>
    </xf>
    <xf numFmtId="166" fontId="4" fillId="23" borderId="3" xfId="0" applyNumberFormat="1" applyFont="1" applyFill="1" applyBorder="1" applyAlignment="1">
      <alignment horizontal="right" vertical="center"/>
    </xf>
    <xf numFmtId="0" fontId="12" fillId="24" borderId="3" xfId="0" applyFont="1" applyFill="1" applyBorder="1" applyAlignment="1">
      <alignment horizontal="left" vertical="center"/>
    </xf>
    <xf numFmtId="3" fontId="4" fillId="24" borderId="3" xfId="0" applyNumberFormat="1" applyFont="1" applyFill="1" applyBorder="1" applyAlignment="1">
      <alignment horizontal="right" vertical="center"/>
    </xf>
    <xf numFmtId="165" fontId="4" fillId="24" borderId="3" xfId="0" applyNumberFormat="1" applyFont="1" applyFill="1" applyBorder="1" applyAlignment="1">
      <alignment horizontal="right" vertical="center"/>
    </xf>
    <xf numFmtId="2" fontId="4" fillId="24" borderId="3" xfId="0" applyNumberFormat="1" applyFont="1" applyFill="1" applyBorder="1" applyAlignment="1">
      <alignment horizontal="right" vertical="center"/>
    </xf>
    <xf numFmtId="164" fontId="4" fillId="24" borderId="3" xfId="0" applyNumberFormat="1" applyFont="1" applyFill="1" applyBorder="1" applyAlignment="1">
      <alignment horizontal="right" vertical="center"/>
    </xf>
    <xf numFmtId="166" fontId="4" fillId="24" borderId="3" xfId="0" applyNumberFormat="1" applyFont="1" applyFill="1" applyBorder="1" applyAlignment="1">
      <alignment horizontal="right" vertical="center"/>
    </xf>
    <xf numFmtId="0" fontId="12" fillId="19" borderId="3" xfId="0" applyFont="1" applyFill="1" applyBorder="1" applyAlignment="1">
      <alignment horizontal="left" vertical="center"/>
    </xf>
    <xf numFmtId="3" fontId="4" fillId="19" borderId="3" xfId="0" applyNumberFormat="1" applyFont="1" applyFill="1" applyBorder="1" applyAlignment="1">
      <alignment horizontal="right" vertical="center"/>
    </xf>
    <xf numFmtId="165" fontId="4" fillId="19" borderId="3" xfId="0" applyNumberFormat="1" applyFont="1" applyFill="1" applyBorder="1" applyAlignment="1">
      <alignment horizontal="right" vertical="center"/>
    </xf>
    <xf numFmtId="2" fontId="4" fillId="19" borderId="3" xfId="0" applyNumberFormat="1" applyFont="1" applyFill="1" applyBorder="1" applyAlignment="1">
      <alignment horizontal="right" vertical="center"/>
    </xf>
    <xf numFmtId="164" fontId="4" fillId="19" borderId="3" xfId="0" applyNumberFormat="1" applyFont="1" applyFill="1" applyBorder="1" applyAlignment="1">
      <alignment horizontal="right" vertical="center"/>
    </xf>
    <xf numFmtId="166" fontId="4" fillId="19" borderId="3" xfId="0" applyNumberFormat="1" applyFont="1" applyFill="1" applyBorder="1" applyAlignment="1">
      <alignment horizontal="right" vertical="center"/>
    </xf>
    <xf numFmtId="0" fontId="12" fillId="25" borderId="3" xfId="0" applyFont="1" applyFill="1" applyBorder="1" applyAlignment="1">
      <alignment horizontal="left" vertical="center"/>
    </xf>
    <xf numFmtId="3" fontId="4" fillId="25" borderId="3" xfId="0" applyNumberFormat="1" applyFont="1" applyFill="1" applyBorder="1" applyAlignment="1">
      <alignment horizontal="right" vertical="center"/>
    </xf>
    <xf numFmtId="165" fontId="4" fillId="25" borderId="3" xfId="0" applyNumberFormat="1" applyFont="1" applyFill="1" applyBorder="1" applyAlignment="1">
      <alignment horizontal="right" vertical="center"/>
    </xf>
    <xf numFmtId="2" fontId="4" fillId="25" borderId="3" xfId="0" applyNumberFormat="1" applyFont="1" applyFill="1" applyBorder="1" applyAlignment="1">
      <alignment horizontal="right" vertical="center"/>
    </xf>
    <xf numFmtId="164" fontId="4" fillId="25" borderId="3" xfId="0" applyNumberFormat="1" applyFont="1" applyFill="1" applyBorder="1" applyAlignment="1">
      <alignment horizontal="right" vertical="center"/>
    </xf>
    <xf numFmtId="166" fontId="4" fillId="25" borderId="3" xfId="0" applyNumberFormat="1" applyFont="1" applyFill="1" applyBorder="1" applyAlignment="1">
      <alignment horizontal="right" vertical="center"/>
    </xf>
    <xf numFmtId="0" fontId="12" fillId="20" borderId="3" xfId="0" applyFont="1" applyFill="1" applyBorder="1" applyAlignment="1">
      <alignment horizontal="left" vertical="center"/>
    </xf>
    <xf numFmtId="3" fontId="4" fillId="20" borderId="3" xfId="0" applyNumberFormat="1" applyFont="1" applyFill="1" applyBorder="1" applyAlignment="1">
      <alignment horizontal="right" vertical="center"/>
    </xf>
    <xf numFmtId="165" fontId="4" fillId="20" borderId="3" xfId="0" applyNumberFormat="1" applyFont="1" applyFill="1" applyBorder="1" applyAlignment="1">
      <alignment horizontal="right" vertical="center"/>
    </xf>
    <xf numFmtId="2" fontId="4" fillId="20" borderId="3" xfId="0" applyNumberFormat="1" applyFont="1" applyFill="1" applyBorder="1" applyAlignment="1">
      <alignment horizontal="right" vertical="center"/>
    </xf>
    <xf numFmtId="164" fontId="4" fillId="20" borderId="3" xfId="0" applyNumberFormat="1" applyFont="1" applyFill="1" applyBorder="1" applyAlignment="1">
      <alignment horizontal="right" vertical="center"/>
    </xf>
    <xf numFmtId="166" fontId="4" fillId="20" borderId="3" xfId="0" applyNumberFormat="1" applyFont="1" applyFill="1" applyBorder="1" applyAlignment="1">
      <alignment horizontal="right" vertical="center"/>
    </xf>
    <xf numFmtId="0" fontId="4" fillId="17" borderId="3" xfId="0" applyFont="1" applyFill="1" applyBorder="1" applyAlignment="1">
      <alignment horizontal="left" vertical="center"/>
    </xf>
    <xf numFmtId="0" fontId="4" fillId="16" borderId="3" xfId="0" applyFont="1" applyFill="1" applyBorder="1" applyAlignment="1">
      <alignment horizontal="left" vertical="center"/>
    </xf>
    <xf numFmtId="0" fontId="4" fillId="2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left" vertical="center"/>
    </xf>
    <xf numFmtId="0" fontId="4" fillId="16" borderId="3" xfId="0" applyFont="1" applyFill="1" applyBorder="1" applyAlignment="1">
      <alignment horizontal="center" vertical="center"/>
    </xf>
    <xf numFmtId="0" fontId="4" fillId="19" borderId="3" xfId="0" applyFont="1" applyFill="1" applyBorder="1" applyAlignment="1">
      <alignment horizontal="left" vertical="center"/>
    </xf>
    <xf numFmtId="0" fontId="12" fillId="9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center" vertical="center"/>
    </xf>
    <xf numFmtId="3" fontId="4" fillId="9" borderId="3" xfId="0" applyNumberFormat="1" applyFont="1" applyFill="1" applyBorder="1" applyAlignment="1">
      <alignment horizontal="right" vertical="center"/>
    </xf>
    <xf numFmtId="2" fontId="4" fillId="9" borderId="3" xfId="0" applyNumberFormat="1" applyFont="1" applyFill="1" applyBorder="1" applyAlignment="1">
      <alignment horizontal="right" vertical="center"/>
    </xf>
    <xf numFmtId="164" fontId="4" fillId="9" borderId="3" xfId="0" applyNumberFormat="1" applyFont="1" applyFill="1" applyBorder="1" applyAlignment="1">
      <alignment horizontal="right" vertical="center"/>
    </xf>
    <xf numFmtId="165" fontId="4" fillId="9" borderId="3" xfId="0" applyNumberFormat="1" applyFont="1" applyFill="1" applyBorder="1" applyAlignment="1">
      <alignment horizontal="right" vertical="center"/>
    </xf>
    <xf numFmtId="167" fontId="4" fillId="8" borderId="3" xfId="0" applyNumberFormat="1" applyFont="1" applyFill="1" applyBorder="1" applyAlignment="1">
      <alignment horizontal="right" vertical="center"/>
    </xf>
    <xf numFmtId="167" fontId="4" fillId="19" borderId="3" xfId="0" applyNumberFormat="1" applyFont="1" applyFill="1" applyBorder="1" applyAlignment="1">
      <alignment horizontal="right" vertical="center"/>
    </xf>
    <xf numFmtId="168" fontId="4" fillId="8" borderId="3" xfId="0" applyNumberFormat="1" applyFont="1" applyFill="1" applyBorder="1" applyAlignment="1">
      <alignment horizontal="right" vertical="center"/>
    </xf>
    <xf numFmtId="168" fontId="4" fillId="20" borderId="3" xfId="0" applyNumberFormat="1" applyFont="1" applyFill="1" applyBorder="1" applyAlignment="1">
      <alignment horizontal="right" vertical="center"/>
    </xf>
    <xf numFmtId="168" fontId="4" fillId="19" borderId="3" xfId="0" applyNumberFormat="1" applyFont="1" applyFill="1" applyBorder="1" applyAlignment="1">
      <alignment horizontal="right" vertical="center"/>
    </xf>
    <xf numFmtId="0" fontId="4" fillId="18" borderId="3" xfId="0" applyFont="1" applyFill="1" applyBorder="1" applyAlignment="1">
      <alignment horizontal="left" vertical="center"/>
    </xf>
    <xf numFmtId="168" fontId="4" fillId="18" borderId="3" xfId="0" applyNumberFormat="1" applyFont="1" applyFill="1" applyBorder="1" applyAlignment="1">
      <alignment horizontal="right" vertical="center"/>
    </xf>
    <xf numFmtId="0" fontId="12" fillId="26" borderId="3" xfId="0" applyFont="1" applyFill="1" applyBorder="1" applyAlignment="1">
      <alignment horizontal="left" vertical="center"/>
    </xf>
    <xf numFmtId="3" fontId="4" fillId="26" borderId="3" xfId="0" applyNumberFormat="1" applyFont="1" applyFill="1" applyBorder="1" applyAlignment="1">
      <alignment horizontal="right" vertical="center"/>
    </xf>
    <xf numFmtId="165" fontId="4" fillId="26" borderId="3" xfId="0" applyNumberFormat="1" applyFont="1" applyFill="1" applyBorder="1" applyAlignment="1">
      <alignment horizontal="right" vertical="center"/>
    </xf>
    <xf numFmtId="166" fontId="4" fillId="26" borderId="3" xfId="0" applyNumberFormat="1" applyFont="1" applyFill="1" applyBorder="1" applyAlignment="1">
      <alignment horizontal="right" vertical="center"/>
    </xf>
    <xf numFmtId="2" fontId="4" fillId="26" borderId="3" xfId="0" applyNumberFormat="1" applyFont="1" applyFill="1" applyBorder="1" applyAlignment="1">
      <alignment horizontal="right" vertical="center"/>
    </xf>
    <xf numFmtId="0" fontId="4" fillId="26" borderId="3" xfId="0" applyFont="1" applyFill="1" applyBorder="1" applyAlignment="1">
      <alignment horizontal="left" vertical="center"/>
    </xf>
    <xf numFmtId="168" fontId="4" fillId="26" borderId="3" xfId="0" applyNumberFormat="1" applyFont="1" applyFill="1" applyBorder="1" applyAlignment="1">
      <alignment horizontal="right" vertical="center"/>
    </xf>
    <xf numFmtId="168" fontId="4" fillId="6" borderId="3" xfId="0" applyNumberFormat="1" applyFont="1" applyFill="1" applyBorder="1" applyAlignment="1">
      <alignment horizontal="right" vertical="center"/>
    </xf>
    <xf numFmtId="0" fontId="12" fillId="19" borderId="3" xfId="0" applyFont="1" applyFill="1" applyBorder="1" applyAlignment="1">
      <alignment horizontal="center" vertical="center"/>
    </xf>
    <xf numFmtId="3" fontId="12" fillId="16" borderId="3" xfId="0" applyNumberFormat="1" applyFont="1" applyFill="1" applyBorder="1" applyAlignment="1">
      <alignment horizontal="right" vertical="center"/>
    </xf>
    <xf numFmtId="0" fontId="12" fillId="27" borderId="3" xfId="0" applyFont="1" applyFill="1" applyBorder="1" applyAlignment="1">
      <alignment horizontal="left" vertical="center"/>
    </xf>
    <xf numFmtId="3" fontId="4" fillId="27" borderId="3" xfId="0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right" vertical="center"/>
    </xf>
    <xf numFmtId="167" fontId="4" fillId="6" borderId="3" xfId="0" applyNumberFormat="1" applyFont="1" applyFill="1" applyBorder="1" applyAlignment="1">
      <alignment horizontal="right" vertical="center"/>
    </xf>
    <xf numFmtId="0" fontId="4" fillId="21" borderId="3" xfId="0" applyFont="1" applyFill="1" applyBorder="1" applyAlignment="1">
      <alignment horizontal="left" vertical="center"/>
    </xf>
    <xf numFmtId="3" fontId="4" fillId="28" borderId="3" xfId="0" applyNumberFormat="1" applyFont="1" applyFill="1" applyBorder="1" applyAlignment="1">
      <alignment horizontal="right" vertical="center"/>
    </xf>
    <xf numFmtId="3" fontId="4" fillId="7" borderId="3" xfId="0" applyNumberFormat="1" applyFont="1" applyFill="1" applyBorder="1" applyAlignment="1">
      <alignment horizontal="right" vertical="center"/>
    </xf>
    <xf numFmtId="3" fontId="12" fillId="19" borderId="3" xfId="0" applyNumberFormat="1" applyFont="1" applyFill="1" applyBorder="1" applyAlignment="1">
      <alignment horizontal="right" vertical="center"/>
    </xf>
    <xf numFmtId="165" fontId="12" fillId="9" borderId="3" xfId="0" applyNumberFormat="1" applyFont="1" applyFill="1" applyBorder="1" applyAlignment="1">
      <alignment horizontal="right" vertical="center"/>
    </xf>
    <xf numFmtId="3" fontId="12" fillId="23" borderId="3" xfId="0" applyNumberFormat="1" applyFont="1" applyFill="1" applyBorder="1" applyAlignment="1">
      <alignment horizontal="right" vertical="center"/>
    </xf>
    <xf numFmtId="3" fontId="12" fillId="6" borderId="3" xfId="0" applyNumberFormat="1" applyFont="1" applyFill="1" applyBorder="1" applyAlignment="1">
      <alignment horizontal="right" vertical="center"/>
    </xf>
    <xf numFmtId="3" fontId="12" fillId="25" borderId="3" xfId="0" applyNumberFormat="1" applyFont="1" applyFill="1" applyBorder="1" applyAlignment="1">
      <alignment horizontal="right" vertical="center"/>
    </xf>
    <xf numFmtId="3" fontId="12" fillId="21" borderId="3" xfId="0" applyNumberFormat="1" applyFont="1" applyFill="1" applyBorder="1" applyAlignment="1">
      <alignment horizontal="right" vertical="center"/>
    </xf>
    <xf numFmtId="3" fontId="12" fillId="22" borderId="3" xfId="0" applyNumberFormat="1" applyFont="1" applyFill="1" applyBorder="1" applyAlignment="1">
      <alignment horizontal="right" vertical="center"/>
    </xf>
    <xf numFmtId="3" fontId="12" fillId="24" borderId="3" xfId="0" applyNumberFormat="1" applyFont="1" applyFill="1" applyBorder="1" applyAlignment="1">
      <alignment horizontal="right" vertical="center"/>
    </xf>
    <xf numFmtId="3" fontId="12" fillId="8" borderId="3" xfId="0" applyNumberFormat="1" applyFont="1" applyFill="1" applyBorder="1" applyAlignment="1">
      <alignment horizontal="right" vertical="center"/>
    </xf>
    <xf numFmtId="3" fontId="12" fillId="18" borderId="3" xfId="0" applyNumberFormat="1" applyFont="1" applyFill="1" applyBorder="1" applyAlignment="1">
      <alignment horizontal="right" vertical="center"/>
    </xf>
    <xf numFmtId="3" fontId="12" fillId="20" borderId="3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16" fillId="14" borderId="1" xfId="0" applyFont="1" applyFill="1" applyBorder="1" applyAlignment="1">
      <alignment horizontal="left" vertical="center"/>
    </xf>
    <xf numFmtId="0" fontId="16" fillId="15" borderId="1" xfId="0" applyFont="1" applyFill="1" applyBorder="1" applyAlignment="1">
      <alignment horizontal="left" vertical="center"/>
    </xf>
    <xf numFmtId="0" fontId="18" fillId="19" borderId="1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left" vertical="center"/>
    </xf>
    <xf numFmtId="0" fontId="4" fillId="29" borderId="3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/>
    </xf>
    <xf numFmtId="0" fontId="21" fillId="4" borderId="3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center" vertical="center"/>
    </xf>
    <xf numFmtId="0" fontId="10" fillId="13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0" fillId="0" borderId="0" xfId="0" applyAlignment="1"/>
    <xf numFmtId="0" fontId="0" fillId="2" borderId="1" xfId="0" applyFill="1" applyBorder="1" applyAlignment="1"/>
    <xf numFmtId="0" fontId="0" fillId="12" borderId="1" xfId="0" applyFill="1" applyBorder="1" applyAlignment="1"/>
    <xf numFmtId="0" fontId="0" fillId="13" borderId="1" xfId="0" applyFill="1" applyBorder="1" applyAlignment="1"/>
    <xf numFmtId="0" fontId="0" fillId="3" borderId="1" xfId="0" applyFill="1" applyBorder="1" applyAlignment="1"/>
    <xf numFmtId="0" fontId="0" fillId="14" borderId="1" xfId="0" applyFill="1" applyBorder="1" applyAlignment="1"/>
    <xf numFmtId="0" fontId="0" fillId="15" borderId="1" xfId="0" applyFill="1" applyBorder="1" applyAlignment="1"/>
    <xf numFmtId="0" fontId="0" fillId="5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65"/>
  <sheetViews>
    <sheetView showGridLines="0" topLeftCell="A57" workbookViewId="0"/>
  </sheetViews>
  <sheetFormatPr defaultRowHeight="15"/>
  <cols>
    <col min="1" max="1" width="3" customWidth="1"/>
    <col min="2" max="2" width="6" customWidth="1"/>
    <col min="3" max="3" width="45" customWidth="1"/>
    <col min="4" max="4" width="40" customWidth="1"/>
    <col min="5" max="5" width="45" customWidth="1"/>
    <col min="6" max="6" width="20" customWidth="1"/>
    <col min="7" max="7" width="18" customWidth="1"/>
  </cols>
  <sheetData>
    <row r="1" spans="2:16" ht="24" customHeight="1">
      <c r="B1" s="168" t="s">
        <v>0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</row>
    <row r="2" spans="2:16" ht="20.100000000000001" customHeight="1"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4" spans="2:16">
      <c r="B4" s="166" t="s">
        <v>1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2:16" ht="15.95" customHeight="1">
      <c r="B5" s="165" t="s">
        <v>2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2:16" ht="15.95" customHeight="1">
      <c r="B6" s="159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</row>
    <row r="7" spans="2:16" ht="15.95" customHeight="1">
      <c r="B7" s="159" t="s">
        <v>3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2:16" ht="15.95" customHeight="1">
      <c r="B8" s="159" t="s">
        <v>4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2:16" ht="15.95" customHeight="1">
      <c r="B9" s="159" t="s">
        <v>5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</row>
    <row r="10" spans="2:16" ht="15.95" customHeight="1">
      <c r="B10" s="159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2:16" ht="15.95" customHeight="1">
      <c r="B11" s="161" t="s">
        <v>6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2:16" ht="15.95" customHeight="1">
      <c r="B12" s="161" t="s">
        <v>7</v>
      </c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</row>
    <row r="13" spans="2:16" ht="15.95" customHeight="1">
      <c r="B13" s="161" t="s">
        <v>8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</row>
    <row r="14" spans="2:16" ht="15.95" customHeight="1">
      <c r="B14" s="161" t="s">
        <v>9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</row>
    <row r="15" spans="2:16" ht="15.95" customHeight="1">
      <c r="B15" s="161" t="s">
        <v>10</v>
      </c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</row>
    <row r="16" spans="2:16" ht="15.95" customHeight="1">
      <c r="B16" s="161" t="s">
        <v>11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</row>
    <row r="17" spans="2:16" ht="15.95" customHeight="1">
      <c r="B17" s="161" t="s">
        <v>12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</row>
    <row r="18" spans="2:16" ht="15.95" customHeight="1">
      <c r="B18" s="161" t="s">
        <v>13</v>
      </c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</row>
    <row r="19" spans="2:16" ht="15.95" customHeight="1">
      <c r="B19" s="159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</row>
    <row r="20" spans="2:16" ht="15.95" customHeight="1">
      <c r="B20" s="164" t="s">
        <v>14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</row>
    <row r="21" spans="2:16" ht="15.95" customHeight="1">
      <c r="B21" s="159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</row>
    <row r="22" spans="2:16" ht="15.95" customHeight="1">
      <c r="B22" s="159" t="s">
        <v>15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</row>
    <row r="23" spans="2:16" ht="15.95" customHeight="1">
      <c r="B23" s="159" t="s">
        <v>16</v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</row>
    <row r="24" spans="2:16" ht="15.95" customHeight="1">
      <c r="B24" s="159" t="s">
        <v>17</v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</row>
    <row r="25" spans="2:16" ht="15.95" customHeight="1">
      <c r="B25" s="159" t="s">
        <v>18</v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</row>
    <row r="26" spans="2:16" ht="15.95" customHeight="1">
      <c r="B26" s="159" t="s">
        <v>19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</row>
    <row r="27" spans="2:16" ht="15.95" customHeight="1">
      <c r="B27" s="159" t="s">
        <v>20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</row>
    <row r="28" spans="2:16" ht="15.95" customHeight="1">
      <c r="B28" s="159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</row>
    <row r="29" spans="2:16" ht="15.95" customHeight="1">
      <c r="B29" s="163" t="s">
        <v>21</v>
      </c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</row>
    <row r="30" spans="2:16" ht="15.95" customHeight="1">
      <c r="B30" s="159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</row>
    <row r="31" spans="2:16" ht="15.95" customHeight="1">
      <c r="B31" s="159" t="s">
        <v>22</v>
      </c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</row>
    <row r="32" spans="2:16" ht="15.95" customHeight="1">
      <c r="B32" s="159" t="s">
        <v>23</v>
      </c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</row>
    <row r="33" spans="2:16" ht="15.95" customHeight="1">
      <c r="B33" s="159" t="s">
        <v>24</v>
      </c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</row>
    <row r="34" spans="2:16" ht="15.95" customHeight="1">
      <c r="B34" s="159" t="s">
        <v>25</v>
      </c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</row>
    <row r="35" spans="2:16" ht="15.95" customHeight="1">
      <c r="B35" s="159" t="s">
        <v>26</v>
      </c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</row>
    <row r="36" spans="2:16" ht="15.95" customHeight="1">
      <c r="B36" s="159" t="s">
        <v>27</v>
      </c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</row>
    <row r="37" spans="2:16" ht="15.95" customHeight="1">
      <c r="B37" s="159" t="s">
        <v>28</v>
      </c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</row>
    <row r="38" spans="2:16" ht="15.95" customHeight="1">
      <c r="B38" s="159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</row>
    <row r="39" spans="2:16" ht="15.95" customHeight="1">
      <c r="B39" s="160" t="s">
        <v>29</v>
      </c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</row>
    <row r="40" spans="2:16" ht="15.95" customHeight="1">
      <c r="B40" s="159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</row>
    <row r="41" spans="2:16" ht="15.95" customHeight="1">
      <c r="B41" s="159" t="s">
        <v>30</v>
      </c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</row>
    <row r="42" spans="2:16" ht="15.95" customHeight="1">
      <c r="B42" s="159" t="s">
        <v>31</v>
      </c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</row>
    <row r="43" spans="2:16" ht="15.95" customHeight="1">
      <c r="B43" s="159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</row>
    <row r="44" spans="2:16" ht="15.95" customHeight="1">
      <c r="B44" s="162" t="s">
        <v>32</v>
      </c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</row>
    <row r="45" spans="2:16" ht="15.95" customHeight="1">
      <c r="B45" s="159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</row>
    <row r="46" spans="2:16" ht="15.95" customHeight="1">
      <c r="B46" s="159" t="s">
        <v>33</v>
      </c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</row>
    <row r="47" spans="2:16" ht="15.95" customHeight="1">
      <c r="B47" s="159" t="s">
        <v>34</v>
      </c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</row>
    <row r="48" spans="2:16" ht="15.95" customHeight="1">
      <c r="B48" s="159" t="s">
        <v>35</v>
      </c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</row>
    <row r="49" spans="2:16" ht="15.95" customHeight="1">
      <c r="B49" s="159" t="s">
        <v>36</v>
      </c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</row>
    <row r="50" spans="2:16" ht="15.95" customHeight="1">
      <c r="B50" s="159" t="s">
        <v>37</v>
      </c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</row>
    <row r="51" spans="2:16" ht="15.95" customHeight="1">
      <c r="B51" s="159" t="s">
        <v>38</v>
      </c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</row>
    <row r="54" spans="2:16" ht="20.100000000000001" customHeight="1">
      <c r="B54" s="167" t="s">
        <v>39</v>
      </c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</row>
    <row r="55" spans="2:16">
      <c r="B55" s="1" t="s">
        <v>40</v>
      </c>
      <c r="C55" s="1" t="s">
        <v>41</v>
      </c>
      <c r="D55" s="1" t="s">
        <v>42</v>
      </c>
      <c r="E55" s="1" t="s">
        <v>43</v>
      </c>
      <c r="F55" s="1" t="s">
        <v>44</v>
      </c>
    </row>
    <row r="56" spans="2:16" ht="27.95" customHeight="1">
      <c r="B56" s="2" t="s">
        <v>45</v>
      </c>
      <c r="C56" s="3" t="s">
        <v>46</v>
      </c>
      <c r="D56" s="4" t="s">
        <v>47</v>
      </c>
      <c r="E56" s="5" t="s">
        <v>48</v>
      </c>
      <c r="F56" s="6" t="s">
        <v>49</v>
      </c>
    </row>
    <row r="57" spans="2:16" ht="27.95" customHeight="1">
      <c r="B57" s="7" t="s">
        <v>50</v>
      </c>
      <c r="C57" s="8" t="s">
        <v>51</v>
      </c>
      <c r="D57" s="9" t="s">
        <v>52</v>
      </c>
      <c r="E57" s="10" t="s">
        <v>53</v>
      </c>
      <c r="F57" s="11" t="s">
        <v>54</v>
      </c>
    </row>
    <row r="58" spans="2:16" ht="27.95" customHeight="1">
      <c r="B58" s="12" t="s">
        <v>55</v>
      </c>
      <c r="C58" s="13" t="s">
        <v>56</v>
      </c>
      <c r="D58" s="14" t="s">
        <v>57</v>
      </c>
      <c r="E58" s="15" t="s">
        <v>58</v>
      </c>
      <c r="F58" s="16" t="s">
        <v>59</v>
      </c>
    </row>
    <row r="59" spans="2:16" ht="27.95" customHeight="1">
      <c r="B59" s="17" t="s">
        <v>60</v>
      </c>
      <c r="C59" s="18" t="s">
        <v>61</v>
      </c>
      <c r="D59" s="19" t="s">
        <v>62</v>
      </c>
      <c r="E59" s="20" t="s">
        <v>63</v>
      </c>
      <c r="F59" s="21" t="s">
        <v>64</v>
      </c>
    </row>
    <row r="60" spans="2:16" ht="27.95" customHeight="1">
      <c r="B60" s="22" t="s">
        <v>65</v>
      </c>
      <c r="C60" s="23" t="s">
        <v>66</v>
      </c>
      <c r="D60" s="24" t="s">
        <v>67</v>
      </c>
      <c r="E60" s="25" t="s">
        <v>68</v>
      </c>
      <c r="F60" s="26" t="s">
        <v>49</v>
      </c>
    </row>
    <row r="61" spans="2:16" ht="27.95" customHeight="1">
      <c r="B61" s="27" t="s">
        <v>69</v>
      </c>
      <c r="C61" s="28" t="s">
        <v>70</v>
      </c>
      <c r="D61" s="29" t="s">
        <v>71</v>
      </c>
      <c r="E61" s="30" t="s">
        <v>72</v>
      </c>
      <c r="F61" s="31" t="s">
        <v>73</v>
      </c>
    </row>
    <row r="62" spans="2:16" ht="27.95" customHeight="1">
      <c r="B62" s="2" t="s">
        <v>74</v>
      </c>
      <c r="C62" s="3" t="s">
        <v>75</v>
      </c>
      <c r="D62" s="4" t="s">
        <v>76</v>
      </c>
      <c r="E62" s="5" t="s">
        <v>77</v>
      </c>
      <c r="F62" s="6" t="s">
        <v>78</v>
      </c>
    </row>
    <row r="63" spans="2:16" ht="27.95" customHeight="1">
      <c r="B63" s="7" t="s">
        <v>79</v>
      </c>
      <c r="C63" s="8" t="s">
        <v>80</v>
      </c>
      <c r="D63" s="9" t="s">
        <v>81</v>
      </c>
      <c r="E63" s="10" t="s">
        <v>82</v>
      </c>
      <c r="F63" s="11" t="s">
        <v>83</v>
      </c>
    </row>
    <row r="64" spans="2:16" ht="27.95" customHeight="1">
      <c r="B64" s="17" t="s">
        <v>84</v>
      </c>
      <c r="C64" s="18" t="s">
        <v>85</v>
      </c>
      <c r="D64" s="19" t="s">
        <v>86</v>
      </c>
      <c r="E64" s="20" t="s">
        <v>87</v>
      </c>
      <c r="F64" s="21" t="s">
        <v>88</v>
      </c>
    </row>
    <row r="65" spans="2:6" ht="27.95" customHeight="1">
      <c r="B65" s="22" t="s">
        <v>89</v>
      </c>
      <c r="C65" s="23" t="s">
        <v>90</v>
      </c>
      <c r="D65" s="24" t="s">
        <v>91</v>
      </c>
      <c r="E65" s="25" t="s">
        <v>92</v>
      </c>
      <c r="F65" s="26" t="s">
        <v>93</v>
      </c>
    </row>
  </sheetData>
  <mergeCells count="50">
    <mergeCell ref="B54:P54"/>
    <mergeCell ref="B1:P2"/>
    <mergeCell ref="B22:P22"/>
    <mergeCell ref="B31:P31"/>
    <mergeCell ref="B46:P46"/>
    <mergeCell ref="B27:P27"/>
    <mergeCell ref="B12:P12"/>
    <mergeCell ref="B21:P21"/>
    <mergeCell ref="B4:P4"/>
    <mergeCell ref="B35:P35"/>
    <mergeCell ref="B26:P26"/>
    <mergeCell ref="B50:P50"/>
    <mergeCell ref="B7:P7"/>
    <mergeCell ref="B25:P25"/>
    <mergeCell ref="B47:P47"/>
    <mergeCell ref="B16:P16"/>
    <mergeCell ref="B6:P6"/>
    <mergeCell ref="B24:P24"/>
    <mergeCell ref="B51:P51"/>
    <mergeCell ref="B20:P20"/>
    <mergeCell ref="B5:P5"/>
    <mergeCell ref="B36:P36"/>
    <mergeCell ref="B45:P45"/>
    <mergeCell ref="B41:P41"/>
    <mergeCell ref="B32:P32"/>
    <mergeCell ref="B49:P49"/>
    <mergeCell ref="B40:P40"/>
    <mergeCell ref="B9:P9"/>
    <mergeCell ref="B30:P30"/>
    <mergeCell ref="B15:P15"/>
    <mergeCell ref="B33:P33"/>
    <mergeCell ref="B8:P8"/>
    <mergeCell ref="B17:P17"/>
    <mergeCell ref="B13:P13"/>
    <mergeCell ref="B18:P18"/>
    <mergeCell ref="B44:P44"/>
    <mergeCell ref="B29:P29"/>
    <mergeCell ref="B38:P38"/>
    <mergeCell ref="B34:P34"/>
    <mergeCell ref="B10:P10"/>
    <mergeCell ref="B28:P28"/>
    <mergeCell ref="B19:P19"/>
    <mergeCell ref="B37:P37"/>
    <mergeCell ref="B43:P43"/>
    <mergeCell ref="B39:P39"/>
    <mergeCell ref="B11:P11"/>
    <mergeCell ref="B48:P48"/>
    <mergeCell ref="B42:P42"/>
    <mergeCell ref="B14:P14"/>
    <mergeCell ref="B23:P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showGridLines="0" tabSelected="1" workbookViewId="0">
      <pane ySplit="9" topLeftCell="A26" activePane="bottomLeft" state="frozen"/>
      <selection pane="bottomLeft"/>
    </sheetView>
  </sheetViews>
  <sheetFormatPr defaultRowHeight="15"/>
  <cols>
    <col min="1" max="1" width="6" customWidth="1"/>
    <col min="2" max="2" width="22" customWidth="1"/>
    <col min="3" max="3" width="14" customWidth="1"/>
    <col min="4" max="4" width="18" customWidth="1"/>
    <col min="5" max="5" width="12" customWidth="1"/>
    <col min="6" max="8" width="14" customWidth="1"/>
    <col min="9" max="9" width="16" customWidth="1"/>
    <col min="10" max="13" width="14" customWidth="1"/>
  </cols>
  <sheetData>
    <row r="1" spans="1:16" ht="24" customHeight="1">
      <c r="A1" s="168" t="s">
        <v>94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</row>
    <row r="2" spans="1:16" ht="20.100000000000001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4" spans="1:16" ht="18" customHeight="1">
      <c r="A4" s="180" t="s">
        <v>95</v>
      </c>
      <c r="B4" s="196"/>
      <c r="C4" s="173" t="s">
        <v>96</v>
      </c>
      <c r="D4" s="196"/>
      <c r="E4" s="174" t="s">
        <v>97</v>
      </c>
      <c r="F4" s="196"/>
      <c r="G4" s="181" t="s">
        <v>98</v>
      </c>
      <c r="H4" s="196"/>
      <c r="I4" s="182" t="s">
        <v>99</v>
      </c>
      <c r="J4" s="196"/>
      <c r="K4" s="173" t="s">
        <v>100</v>
      </c>
      <c r="L4" s="196"/>
      <c r="M4" s="183" t="s">
        <v>101</v>
      </c>
      <c r="N4" s="196"/>
      <c r="O4" s="176" t="s">
        <v>102</v>
      </c>
      <c r="P4" s="196"/>
    </row>
    <row r="5" spans="1:16" ht="32.1" customHeight="1">
      <c r="A5" s="177" t="s">
        <v>103</v>
      </c>
      <c r="B5" s="196"/>
      <c r="C5" s="170" t="s">
        <v>104</v>
      </c>
      <c r="D5" s="196"/>
      <c r="E5" s="171" t="s">
        <v>105</v>
      </c>
      <c r="F5" s="196"/>
      <c r="G5" s="178" t="s">
        <v>106</v>
      </c>
      <c r="H5" s="196"/>
      <c r="I5" s="179" t="s">
        <v>107</v>
      </c>
      <c r="J5" s="196"/>
      <c r="K5" s="170" t="s">
        <v>108</v>
      </c>
      <c r="L5" s="196"/>
      <c r="M5" s="172" t="s">
        <v>109</v>
      </c>
      <c r="N5" s="196"/>
      <c r="O5" s="175" t="s">
        <v>110</v>
      </c>
      <c r="P5" s="196"/>
    </row>
    <row r="6" spans="1:16" ht="9.9499999999999993" customHeight="1">
      <c r="A6" s="197"/>
      <c r="B6" s="196"/>
      <c r="C6" s="198"/>
      <c r="D6" s="196"/>
      <c r="E6" s="199"/>
      <c r="F6" s="196"/>
      <c r="G6" s="200"/>
      <c r="H6" s="196"/>
      <c r="I6" s="201"/>
      <c r="J6" s="196"/>
      <c r="K6" s="198"/>
      <c r="L6" s="196"/>
      <c r="M6" s="202"/>
      <c r="N6" s="196"/>
      <c r="O6" s="203"/>
      <c r="P6" s="196"/>
    </row>
    <row r="8" spans="1:16" ht="20.100000000000001" customHeight="1">
      <c r="A8" s="169" t="s">
        <v>111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</row>
    <row r="9" spans="1:16">
      <c r="A9" s="32" t="s">
        <v>112</v>
      </c>
      <c r="B9" s="32" t="s">
        <v>113</v>
      </c>
      <c r="C9" s="32" t="s">
        <v>114</v>
      </c>
      <c r="D9" s="32" t="s">
        <v>115</v>
      </c>
      <c r="E9" s="32" t="s">
        <v>116</v>
      </c>
      <c r="F9" s="32" t="s">
        <v>117</v>
      </c>
      <c r="G9" s="32" t="s">
        <v>118</v>
      </c>
      <c r="H9" s="32" t="s">
        <v>119</v>
      </c>
      <c r="I9" s="32" t="s">
        <v>120</v>
      </c>
      <c r="J9" s="32" t="s">
        <v>121</v>
      </c>
      <c r="K9" s="32" t="s">
        <v>122</v>
      </c>
    </row>
    <row r="10" spans="1:16">
      <c r="A10" s="33">
        <v>1</v>
      </c>
      <c r="B10" s="34" t="s">
        <v>110</v>
      </c>
      <c r="C10" s="35" t="s">
        <v>123</v>
      </c>
      <c r="D10" s="36">
        <v>445932175</v>
      </c>
      <c r="E10" s="36">
        <v>610832</v>
      </c>
      <c r="F10" s="36">
        <v>720</v>
      </c>
      <c r="G10" s="37">
        <v>4.05</v>
      </c>
      <c r="H10" s="38">
        <v>86.7</v>
      </c>
      <c r="I10" s="39">
        <v>0</v>
      </c>
      <c r="J10" s="39">
        <v>41.1</v>
      </c>
      <c r="K10" s="36">
        <v>4586</v>
      </c>
    </row>
    <row r="11" spans="1:16">
      <c r="A11" s="40">
        <v>2</v>
      </c>
      <c r="B11" s="41" t="s">
        <v>124</v>
      </c>
      <c r="C11" s="42" t="s">
        <v>125</v>
      </c>
      <c r="D11" s="43">
        <v>406437260</v>
      </c>
      <c r="E11" s="43">
        <v>582894</v>
      </c>
      <c r="F11" s="43">
        <v>712</v>
      </c>
      <c r="G11" s="44">
        <v>4.04</v>
      </c>
      <c r="H11" s="45">
        <v>86.6</v>
      </c>
      <c r="I11" s="46">
        <v>0</v>
      </c>
      <c r="J11" s="46">
        <v>41</v>
      </c>
      <c r="K11" s="43">
        <v>4328</v>
      </c>
    </row>
    <row r="12" spans="1:16">
      <c r="A12" s="33">
        <v>3</v>
      </c>
      <c r="B12" s="34" t="s">
        <v>126</v>
      </c>
      <c r="C12" s="47" t="s">
        <v>127</v>
      </c>
      <c r="D12" s="36">
        <v>333888810</v>
      </c>
      <c r="E12" s="36">
        <v>462983</v>
      </c>
      <c r="F12" s="36">
        <v>717</v>
      </c>
      <c r="G12" s="37">
        <v>4.05</v>
      </c>
      <c r="H12" s="38">
        <v>86.5</v>
      </c>
      <c r="I12" s="39">
        <v>0</v>
      </c>
      <c r="J12" s="39">
        <v>41.1</v>
      </c>
      <c r="K12" s="36">
        <v>3449</v>
      </c>
    </row>
    <row r="13" spans="1:16">
      <c r="A13" s="40">
        <v>4</v>
      </c>
      <c r="B13" s="41" t="s">
        <v>128</v>
      </c>
      <c r="C13" s="47" t="s">
        <v>127</v>
      </c>
      <c r="D13" s="43">
        <v>314567125</v>
      </c>
      <c r="E13" s="43">
        <v>440736</v>
      </c>
      <c r="F13" s="43">
        <v>715</v>
      </c>
      <c r="G13" s="44">
        <v>4.0599999999999996</v>
      </c>
      <c r="H13" s="45">
        <v>86.8</v>
      </c>
      <c r="I13" s="46">
        <v>0</v>
      </c>
      <c r="J13" s="46">
        <v>41.1</v>
      </c>
      <c r="K13" s="43">
        <v>3364</v>
      </c>
    </row>
    <row r="14" spans="1:16">
      <c r="A14" s="33">
        <v>5</v>
      </c>
      <c r="B14" s="34" t="s">
        <v>129</v>
      </c>
      <c r="C14" s="42" t="s">
        <v>125</v>
      </c>
      <c r="D14" s="36">
        <v>309137600</v>
      </c>
      <c r="E14" s="36">
        <v>429993</v>
      </c>
      <c r="F14" s="36">
        <v>725</v>
      </c>
      <c r="G14" s="37">
        <v>4.04</v>
      </c>
      <c r="H14" s="38">
        <v>86.7</v>
      </c>
      <c r="I14" s="39">
        <v>0</v>
      </c>
      <c r="J14" s="39">
        <v>41.1</v>
      </c>
      <c r="K14" s="36">
        <v>3131</v>
      </c>
    </row>
    <row r="15" spans="1:16">
      <c r="A15" s="40">
        <v>6</v>
      </c>
      <c r="B15" s="41" t="s">
        <v>130</v>
      </c>
      <c r="C15" s="48" t="s">
        <v>131</v>
      </c>
      <c r="D15" s="43">
        <v>268160560</v>
      </c>
      <c r="E15" s="43">
        <v>381717</v>
      </c>
      <c r="F15" s="43">
        <v>712</v>
      </c>
      <c r="G15" s="44">
        <v>4.05</v>
      </c>
      <c r="H15" s="45">
        <v>86.5</v>
      </c>
      <c r="I15" s="46">
        <v>0</v>
      </c>
      <c r="J15" s="46">
        <v>41.1</v>
      </c>
      <c r="K15" s="43">
        <v>2824</v>
      </c>
    </row>
    <row r="16" spans="1:16">
      <c r="A16" s="33">
        <v>7</v>
      </c>
      <c r="B16" s="34" t="s">
        <v>132</v>
      </c>
      <c r="C16" s="47" t="s">
        <v>127</v>
      </c>
      <c r="D16" s="36">
        <v>236835360</v>
      </c>
      <c r="E16" s="36">
        <v>330281</v>
      </c>
      <c r="F16" s="36">
        <v>717</v>
      </c>
      <c r="G16" s="37">
        <v>4.05</v>
      </c>
      <c r="H16" s="38">
        <v>86.5</v>
      </c>
      <c r="I16" s="39">
        <v>0</v>
      </c>
      <c r="J16" s="39">
        <v>41</v>
      </c>
      <c r="K16" s="36">
        <v>2433</v>
      </c>
    </row>
    <row r="17" spans="1:11">
      <c r="A17" s="40">
        <v>8</v>
      </c>
      <c r="B17" s="41" t="s">
        <v>133</v>
      </c>
      <c r="C17" s="35" t="s">
        <v>123</v>
      </c>
      <c r="D17" s="43">
        <v>224914695</v>
      </c>
      <c r="E17" s="43">
        <v>319169</v>
      </c>
      <c r="F17" s="43">
        <v>704</v>
      </c>
      <c r="G17" s="44">
        <v>4.05</v>
      </c>
      <c r="H17" s="45">
        <v>86.7</v>
      </c>
      <c r="I17" s="46">
        <v>0</v>
      </c>
      <c r="J17" s="46">
        <v>41.1</v>
      </c>
      <c r="K17" s="43">
        <v>2372</v>
      </c>
    </row>
    <row r="18" spans="1:11">
      <c r="A18" s="33">
        <v>9</v>
      </c>
      <c r="B18" s="34" t="s">
        <v>134</v>
      </c>
      <c r="C18" s="42" t="s">
        <v>125</v>
      </c>
      <c r="D18" s="36">
        <v>211475050</v>
      </c>
      <c r="E18" s="36">
        <v>294100</v>
      </c>
      <c r="F18" s="36">
        <v>716</v>
      </c>
      <c r="G18" s="37">
        <v>4.05</v>
      </c>
      <c r="H18" s="38">
        <v>86.3</v>
      </c>
      <c r="I18" s="39">
        <v>0</v>
      </c>
      <c r="J18" s="39">
        <v>41.1</v>
      </c>
      <c r="K18" s="36">
        <v>2152</v>
      </c>
    </row>
    <row r="19" spans="1:11">
      <c r="A19" s="40">
        <v>10</v>
      </c>
      <c r="B19" s="41" t="s">
        <v>135</v>
      </c>
      <c r="C19" s="47" t="s">
        <v>127</v>
      </c>
      <c r="D19" s="43">
        <v>177889590</v>
      </c>
      <c r="E19" s="43">
        <v>261498</v>
      </c>
      <c r="F19" s="43">
        <v>699</v>
      </c>
      <c r="G19" s="44">
        <v>4.05</v>
      </c>
      <c r="H19" s="45">
        <v>86.2</v>
      </c>
      <c r="I19" s="46">
        <v>0</v>
      </c>
      <c r="J19" s="46">
        <v>41</v>
      </c>
      <c r="K19" s="43">
        <v>1865</v>
      </c>
    </row>
    <row r="20" spans="1:11">
      <c r="A20" s="33">
        <v>11</v>
      </c>
      <c r="B20" s="34" t="s">
        <v>136</v>
      </c>
      <c r="C20" s="47" t="s">
        <v>127</v>
      </c>
      <c r="D20" s="36">
        <v>174644680</v>
      </c>
      <c r="E20" s="36">
        <v>246018</v>
      </c>
      <c r="F20" s="36">
        <v>704</v>
      </c>
      <c r="G20" s="37">
        <v>4.04</v>
      </c>
      <c r="H20" s="38">
        <v>86.8</v>
      </c>
      <c r="I20" s="39">
        <v>0</v>
      </c>
      <c r="J20" s="39">
        <v>41.1</v>
      </c>
      <c r="K20" s="36">
        <v>1807</v>
      </c>
    </row>
    <row r="21" spans="1:11">
      <c r="A21" s="40">
        <v>12</v>
      </c>
      <c r="B21" s="41" t="s">
        <v>137</v>
      </c>
      <c r="C21" s="49" t="s">
        <v>138</v>
      </c>
      <c r="D21" s="43">
        <v>162843570</v>
      </c>
      <c r="E21" s="43">
        <v>227869</v>
      </c>
      <c r="F21" s="43">
        <v>713</v>
      </c>
      <c r="G21" s="44">
        <v>4.05</v>
      </c>
      <c r="H21" s="45">
        <v>86.8</v>
      </c>
      <c r="I21" s="46">
        <v>0</v>
      </c>
      <c r="J21" s="46">
        <v>41.1</v>
      </c>
      <c r="K21" s="43">
        <v>1688</v>
      </c>
    </row>
    <row r="22" spans="1:11">
      <c r="A22" s="33">
        <v>13</v>
      </c>
      <c r="B22" s="34" t="s">
        <v>139</v>
      </c>
      <c r="C22" s="42" t="s">
        <v>125</v>
      </c>
      <c r="D22" s="36">
        <v>142145970</v>
      </c>
      <c r="E22" s="36">
        <v>202676</v>
      </c>
      <c r="F22" s="36">
        <v>713</v>
      </c>
      <c r="G22" s="37">
        <v>4.04</v>
      </c>
      <c r="H22" s="38">
        <v>86.8</v>
      </c>
      <c r="I22" s="39">
        <v>0</v>
      </c>
      <c r="J22" s="39">
        <v>41</v>
      </c>
      <c r="K22" s="36">
        <v>1558</v>
      </c>
    </row>
    <row r="23" spans="1:11">
      <c r="A23" s="40">
        <v>14</v>
      </c>
      <c r="B23" s="41" t="s">
        <v>140</v>
      </c>
      <c r="C23" s="42" t="s">
        <v>125</v>
      </c>
      <c r="D23" s="43">
        <v>131544915</v>
      </c>
      <c r="E23" s="43">
        <v>181694</v>
      </c>
      <c r="F23" s="43">
        <v>716</v>
      </c>
      <c r="G23" s="44">
        <v>4.04</v>
      </c>
      <c r="H23" s="45">
        <v>86.5</v>
      </c>
      <c r="I23" s="46">
        <v>0</v>
      </c>
      <c r="J23" s="46">
        <v>41.1</v>
      </c>
      <c r="K23" s="43">
        <v>1332</v>
      </c>
    </row>
    <row r="24" spans="1:11">
      <c r="A24" s="33">
        <v>15</v>
      </c>
      <c r="B24" s="34" t="s">
        <v>141</v>
      </c>
      <c r="C24" s="48" t="s">
        <v>131</v>
      </c>
      <c r="D24" s="36">
        <v>115679185</v>
      </c>
      <c r="E24" s="36">
        <v>161428</v>
      </c>
      <c r="F24" s="36">
        <v>723</v>
      </c>
      <c r="G24" s="37">
        <v>4.05</v>
      </c>
      <c r="H24" s="38">
        <v>86.8</v>
      </c>
      <c r="I24" s="39">
        <v>0</v>
      </c>
      <c r="J24" s="39">
        <v>41.1</v>
      </c>
      <c r="K24" s="36">
        <v>1222</v>
      </c>
    </row>
    <row r="26" spans="1:11" ht="20.100000000000001" customHeight="1">
      <c r="A26" s="169" t="s">
        <v>142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</row>
    <row r="27" spans="1:11">
      <c r="A27" s="32" t="s">
        <v>143</v>
      </c>
      <c r="B27" s="32" t="s">
        <v>144</v>
      </c>
      <c r="C27" s="32" t="s">
        <v>145</v>
      </c>
      <c r="D27" s="32" t="s">
        <v>116</v>
      </c>
      <c r="E27" s="32" t="s">
        <v>146</v>
      </c>
      <c r="F27" s="32" t="s">
        <v>117</v>
      </c>
      <c r="G27" s="32" t="s">
        <v>120</v>
      </c>
      <c r="H27" s="32" t="s">
        <v>118</v>
      </c>
      <c r="I27" s="32" t="s">
        <v>119</v>
      </c>
      <c r="J27" s="32" t="s">
        <v>147</v>
      </c>
      <c r="K27" s="32" t="s">
        <v>148</v>
      </c>
    </row>
    <row r="28" spans="1:11">
      <c r="A28" s="50" t="s">
        <v>109</v>
      </c>
      <c r="B28" s="51">
        <v>13910</v>
      </c>
      <c r="C28" s="51">
        <v>1606935485</v>
      </c>
      <c r="D28" s="51">
        <v>837108</v>
      </c>
      <c r="E28" s="51">
        <v>1934</v>
      </c>
      <c r="F28" s="51">
        <v>1934</v>
      </c>
      <c r="G28" s="52">
        <v>0</v>
      </c>
      <c r="H28" s="53">
        <v>4.12</v>
      </c>
      <c r="I28" s="54">
        <v>89.8</v>
      </c>
      <c r="J28" s="52">
        <v>41.1</v>
      </c>
      <c r="K28" s="55">
        <v>37.520000000000003</v>
      </c>
    </row>
    <row r="29" spans="1:11">
      <c r="A29" s="56" t="s">
        <v>149</v>
      </c>
      <c r="B29" s="57">
        <v>9959</v>
      </c>
      <c r="C29" s="57">
        <v>465462580</v>
      </c>
      <c r="D29" s="57">
        <v>601797</v>
      </c>
      <c r="E29" s="57">
        <v>775</v>
      </c>
      <c r="F29" s="57">
        <v>775</v>
      </c>
      <c r="G29" s="58">
        <v>0</v>
      </c>
      <c r="H29" s="59">
        <v>4.07</v>
      </c>
      <c r="I29" s="60">
        <v>90.2</v>
      </c>
      <c r="J29" s="58">
        <v>41.1</v>
      </c>
      <c r="K29" s="61">
        <v>10.87</v>
      </c>
    </row>
    <row r="30" spans="1:11">
      <c r="A30" s="62" t="s">
        <v>150</v>
      </c>
      <c r="B30" s="63">
        <v>10031</v>
      </c>
      <c r="C30" s="63">
        <v>413581560</v>
      </c>
      <c r="D30" s="63">
        <v>604153</v>
      </c>
      <c r="E30" s="63">
        <v>687</v>
      </c>
      <c r="F30" s="63">
        <v>687</v>
      </c>
      <c r="G30" s="64">
        <v>0</v>
      </c>
      <c r="H30" s="65">
        <v>4.07</v>
      </c>
      <c r="I30" s="66">
        <v>83</v>
      </c>
      <c r="J30" s="64">
        <v>41</v>
      </c>
      <c r="K30" s="67">
        <v>9.66</v>
      </c>
    </row>
    <row r="31" spans="1:11">
      <c r="A31" s="68" t="s">
        <v>151</v>
      </c>
      <c r="B31" s="69">
        <v>8093</v>
      </c>
      <c r="C31" s="69">
        <v>403781295</v>
      </c>
      <c r="D31" s="69">
        <v>483027</v>
      </c>
      <c r="E31" s="69">
        <v>826</v>
      </c>
      <c r="F31" s="69">
        <v>826</v>
      </c>
      <c r="G31" s="70">
        <v>0</v>
      </c>
      <c r="H31" s="71">
        <v>4.07</v>
      </c>
      <c r="I31" s="72">
        <v>90.6</v>
      </c>
      <c r="J31" s="70">
        <v>41.1</v>
      </c>
      <c r="K31" s="73">
        <v>9.43</v>
      </c>
    </row>
    <row r="32" spans="1:11">
      <c r="A32" s="74" t="s">
        <v>152</v>
      </c>
      <c r="B32" s="75">
        <v>11925</v>
      </c>
      <c r="C32" s="75">
        <v>337320360</v>
      </c>
      <c r="D32" s="75">
        <v>716684</v>
      </c>
      <c r="E32" s="75">
        <v>469</v>
      </c>
      <c r="F32" s="75">
        <v>469</v>
      </c>
      <c r="G32" s="76">
        <v>0</v>
      </c>
      <c r="H32" s="77">
        <v>3.89</v>
      </c>
      <c r="I32" s="78">
        <v>76.5</v>
      </c>
      <c r="J32" s="76">
        <v>41</v>
      </c>
      <c r="K32" s="79">
        <v>7.88</v>
      </c>
    </row>
    <row r="33" spans="1:11">
      <c r="A33" s="80" t="s">
        <v>153</v>
      </c>
      <c r="B33" s="81">
        <v>9997</v>
      </c>
      <c r="C33" s="81">
        <v>302779985</v>
      </c>
      <c r="D33" s="81">
        <v>601383</v>
      </c>
      <c r="E33" s="81">
        <v>512</v>
      </c>
      <c r="F33" s="81">
        <v>512</v>
      </c>
      <c r="G33" s="82">
        <v>0</v>
      </c>
      <c r="H33" s="83">
        <v>4.12</v>
      </c>
      <c r="I33" s="84">
        <v>94.7</v>
      </c>
      <c r="J33" s="82">
        <v>41.1</v>
      </c>
      <c r="K33" s="85">
        <v>7.07</v>
      </c>
    </row>
    <row r="34" spans="1:11">
      <c r="A34" s="86" t="s">
        <v>154</v>
      </c>
      <c r="B34" s="87">
        <v>11915</v>
      </c>
      <c r="C34" s="87">
        <v>280083785</v>
      </c>
      <c r="D34" s="87">
        <v>721010</v>
      </c>
      <c r="E34" s="87">
        <v>392</v>
      </c>
      <c r="F34" s="87">
        <v>392</v>
      </c>
      <c r="G34" s="88">
        <v>0</v>
      </c>
      <c r="H34" s="89">
        <v>4.07</v>
      </c>
      <c r="I34" s="90">
        <v>83.6</v>
      </c>
      <c r="J34" s="88">
        <v>41.1</v>
      </c>
      <c r="K34" s="91">
        <v>6.54</v>
      </c>
    </row>
    <row r="35" spans="1:11">
      <c r="A35" s="92" t="s">
        <v>155</v>
      </c>
      <c r="B35" s="93">
        <v>12143</v>
      </c>
      <c r="C35" s="93">
        <v>245279085</v>
      </c>
      <c r="D35" s="93">
        <v>725687</v>
      </c>
      <c r="E35" s="93">
        <v>335</v>
      </c>
      <c r="F35" s="93">
        <v>335</v>
      </c>
      <c r="G35" s="94">
        <v>0</v>
      </c>
      <c r="H35" s="95">
        <v>3.98</v>
      </c>
      <c r="I35" s="96">
        <v>93.3</v>
      </c>
      <c r="J35" s="94">
        <v>41.1</v>
      </c>
      <c r="K35" s="97">
        <v>5.73</v>
      </c>
    </row>
    <row r="36" spans="1:11">
      <c r="A36" s="98" t="s">
        <v>156</v>
      </c>
      <c r="B36" s="99">
        <v>8057</v>
      </c>
      <c r="C36" s="99">
        <v>204583470</v>
      </c>
      <c r="D36" s="99">
        <v>481501</v>
      </c>
      <c r="E36" s="99">
        <v>426</v>
      </c>
      <c r="F36" s="99">
        <v>426</v>
      </c>
      <c r="G36" s="100">
        <v>0</v>
      </c>
      <c r="H36" s="101">
        <v>4.0599999999999996</v>
      </c>
      <c r="I36" s="102">
        <v>95.2</v>
      </c>
      <c r="J36" s="100">
        <v>41.1</v>
      </c>
      <c r="K36" s="103">
        <v>4.78</v>
      </c>
    </row>
    <row r="37" spans="1:11">
      <c r="A37" s="104" t="s">
        <v>157</v>
      </c>
      <c r="B37" s="105">
        <v>3970</v>
      </c>
      <c r="C37" s="105">
        <v>23439915</v>
      </c>
      <c r="D37" s="105">
        <v>238641</v>
      </c>
      <c r="E37" s="105">
        <v>98</v>
      </c>
      <c r="F37" s="105">
        <v>98</v>
      </c>
      <c r="G37" s="106">
        <v>0</v>
      </c>
      <c r="H37" s="107">
        <v>4.07</v>
      </c>
      <c r="I37" s="108">
        <v>49.4</v>
      </c>
      <c r="J37" s="106">
        <v>41</v>
      </c>
      <c r="K37" s="109">
        <v>0.55000000000000004</v>
      </c>
    </row>
  </sheetData>
  <mergeCells count="27">
    <mergeCell ref="A4:B4"/>
    <mergeCell ref="G4:H4"/>
    <mergeCell ref="I4:J4"/>
    <mergeCell ref="K6:L6"/>
    <mergeCell ref="M4:N4"/>
    <mergeCell ref="E6:F6"/>
    <mergeCell ref="A26:K26"/>
    <mergeCell ref="M6:N6"/>
    <mergeCell ref="A5:B5"/>
    <mergeCell ref="G5:H5"/>
    <mergeCell ref="I5:J5"/>
    <mergeCell ref="C6:D6"/>
    <mergeCell ref="I6:J6"/>
    <mergeCell ref="A8:M8"/>
    <mergeCell ref="A1:P2"/>
    <mergeCell ref="C5:D5"/>
    <mergeCell ref="O6:P6"/>
    <mergeCell ref="E5:F5"/>
    <mergeCell ref="K5:L5"/>
    <mergeCell ref="M5:N5"/>
    <mergeCell ref="K4:L4"/>
    <mergeCell ref="A6:B6"/>
    <mergeCell ref="C4:D4"/>
    <mergeCell ref="E4:F4"/>
    <mergeCell ref="O5:P5"/>
    <mergeCell ref="G6:H6"/>
    <mergeCell ref="O4:P4"/>
  </mergeCells>
  <conditionalFormatting sqref="D10:D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:H24">
    <cfRule type="colorScale" priority="2">
      <colorScale>
        <cfvo type="min"/>
        <cfvo type="percentile" val="50"/>
        <cfvo type="max"/>
        <color rgb="FF63BE7B"/>
        <color rgb="FFFFEB84"/>
        <color rgb="FF1A5276"/>
      </colorScale>
    </cfRule>
  </conditionalFormatting>
  <conditionalFormatting sqref="E10:E24">
    <cfRule type="dataBar" priority="3">
      <dataBar>
        <cfvo type="min"/>
        <cfvo type="max"/>
        <color rgb="FF27AE60"/>
      </dataBar>
    </cfRule>
  </conditionalFormatting>
  <conditionalFormatting sqref="C28:C3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8:K37">
    <cfRule type="dataBar" priority="5">
      <dataBar>
        <cfvo type="min"/>
        <cfvo type="max"/>
        <color rgb="FF2E6DA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" customWidth="1"/>
    <col min="2" max="2" width="24" customWidth="1"/>
    <col min="3" max="3" width="14" customWidth="1"/>
    <col min="4" max="4" width="10" customWidth="1"/>
    <col min="5" max="6" width="16" customWidth="1"/>
    <col min="7" max="7" width="14" customWidth="1"/>
    <col min="8" max="8" width="12" customWidth="1"/>
    <col min="9" max="9" width="10" customWidth="1"/>
    <col min="10" max="12" width="12" customWidth="1"/>
    <col min="13" max="13" width="22" customWidth="1"/>
    <col min="14" max="14" width="28" customWidth="1"/>
  </cols>
  <sheetData>
    <row r="1" spans="1:14" ht="24" customHeight="1">
      <c r="A1" s="168" t="s">
        <v>158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</row>
    <row r="2" spans="1:14" ht="20.100000000000001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</row>
    <row r="3" spans="1:14" ht="20.100000000000001" customHeight="1">
      <c r="A3" s="169" t="s">
        <v>159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</row>
    <row r="4" spans="1:14">
      <c r="A4" s="32" t="s">
        <v>113</v>
      </c>
      <c r="B4" s="32" t="s">
        <v>114</v>
      </c>
      <c r="C4" s="32" t="s">
        <v>160</v>
      </c>
      <c r="D4" s="32" t="s">
        <v>161</v>
      </c>
      <c r="E4" s="32" t="s">
        <v>162</v>
      </c>
      <c r="F4" s="32" t="s">
        <v>163</v>
      </c>
      <c r="G4" s="32" t="s">
        <v>164</v>
      </c>
      <c r="H4" s="32" t="s">
        <v>165</v>
      </c>
      <c r="I4" s="32" t="s">
        <v>166</v>
      </c>
      <c r="J4" s="32" t="s">
        <v>118</v>
      </c>
      <c r="K4" s="32" t="s">
        <v>147</v>
      </c>
      <c r="L4" s="32" t="s">
        <v>167</v>
      </c>
      <c r="M4" s="32" t="s">
        <v>168</v>
      </c>
    </row>
    <row r="5" spans="1:14">
      <c r="A5" s="41" t="s">
        <v>110</v>
      </c>
      <c r="B5" s="35" t="s">
        <v>123</v>
      </c>
      <c r="C5" s="47" t="s">
        <v>169</v>
      </c>
      <c r="D5" s="43">
        <v>10217</v>
      </c>
      <c r="E5" s="43">
        <v>445932175</v>
      </c>
      <c r="F5" s="43">
        <v>720</v>
      </c>
      <c r="G5" s="45">
        <v>86.7</v>
      </c>
      <c r="H5" s="46">
        <v>55</v>
      </c>
      <c r="I5" s="46">
        <v>44.9</v>
      </c>
      <c r="J5" s="44">
        <v>4.05</v>
      </c>
      <c r="K5" s="46">
        <v>41.1</v>
      </c>
      <c r="L5" s="110" t="s">
        <v>109</v>
      </c>
      <c r="M5" s="110"/>
    </row>
    <row r="6" spans="1:14">
      <c r="A6" s="34" t="s">
        <v>124</v>
      </c>
      <c r="B6" s="42" t="s">
        <v>125</v>
      </c>
      <c r="C6" s="48" t="s">
        <v>170</v>
      </c>
      <c r="D6" s="36">
        <v>9654</v>
      </c>
      <c r="E6" s="36">
        <v>406437260</v>
      </c>
      <c r="F6" s="36">
        <v>712</v>
      </c>
      <c r="G6" s="38">
        <v>86.6</v>
      </c>
      <c r="H6" s="39">
        <v>55.3</v>
      </c>
      <c r="I6" s="39">
        <v>44.8</v>
      </c>
      <c r="J6" s="37">
        <v>4.04</v>
      </c>
      <c r="K6" s="39">
        <v>41</v>
      </c>
      <c r="L6" s="111" t="s">
        <v>109</v>
      </c>
      <c r="M6" s="111"/>
    </row>
    <row r="7" spans="1:14">
      <c r="A7" s="41" t="s">
        <v>126</v>
      </c>
      <c r="B7" s="47" t="s">
        <v>127</v>
      </c>
      <c r="C7" s="47" t="s">
        <v>169</v>
      </c>
      <c r="D7" s="43">
        <v>7686</v>
      </c>
      <c r="E7" s="43">
        <v>333888810</v>
      </c>
      <c r="F7" s="43">
        <v>717</v>
      </c>
      <c r="G7" s="45">
        <v>86.5</v>
      </c>
      <c r="H7" s="46">
        <v>55.2</v>
      </c>
      <c r="I7" s="46">
        <v>44.9</v>
      </c>
      <c r="J7" s="44">
        <v>4.05</v>
      </c>
      <c r="K7" s="46">
        <v>41.1</v>
      </c>
      <c r="L7" s="110" t="s">
        <v>109</v>
      </c>
      <c r="M7" s="110"/>
    </row>
    <row r="8" spans="1:14">
      <c r="A8" s="34" t="s">
        <v>128</v>
      </c>
      <c r="B8" s="47" t="s">
        <v>127</v>
      </c>
      <c r="C8" s="47" t="s">
        <v>169</v>
      </c>
      <c r="D8" s="36">
        <v>7394</v>
      </c>
      <c r="E8" s="36">
        <v>314567125</v>
      </c>
      <c r="F8" s="36">
        <v>715</v>
      </c>
      <c r="G8" s="38">
        <v>86.8</v>
      </c>
      <c r="H8" s="39">
        <v>56</v>
      </c>
      <c r="I8" s="39">
        <v>45.5</v>
      </c>
      <c r="J8" s="37">
        <v>4.0599999999999996</v>
      </c>
      <c r="K8" s="39">
        <v>41.1</v>
      </c>
      <c r="L8" s="111" t="s">
        <v>109</v>
      </c>
      <c r="M8" s="111"/>
    </row>
    <row r="9" spans="1:14">
      <c r="A9" s="41" t="s">
        <v>129</v>
      </c>
      <c r="B9" s="42" t="s">
        <v>125</v>
      </c>
      <c r="C9" s="47" t="s">
        <v>169</v>
      </c>
      <c r="D9" s="43">
        <v>7097</v>
      </c>
      <c r="E9" s="43">
        <v>309137600</v>
      </c>
      <c r="F9" s="43">
        <v>725</v>
      </c>
      <c r="G9" s="45">
        <v>86.7</v>
      </c>
      <c r="H9" s="46">
        <v>55.2</v>
      </c>
      <c r="I9" s="46">
        <v>44.1</v>
      </c>
      <c r="J9" s="44">
        <v>4.04</v>
      </c>
      <c r="K9" s="46">
        <v>41.1</v>
      </c>
      <c r="L9" s="110" t="s">
        <v>109</v>
      </c>
      <c r="M9" s="110"/>
    </row>
    <row r="10" spans="1:14">
      <c r="A10" s="34" t="s">
        <v>130</v>
      </c>
      <c r="B10" s="48" t="s">
        <v>131</v>
      </c>
      <c r="C10" s="47" t="s">
        <v>169</v>
      </c>
      <c r="D10" s="36">
        <v>6363</v>
      </c>
      <c r="E10" s="36">
        <v>268160560</v>
      </c>
      <c r="F10" s="36">
        <v>712</v>
      </c>
      <c r="G10" s="38">
        <v>86.5</v>
      </c>
      <c r="H10" s="39">
        <v>54.2</v>
      </c>
      <c r="I10" s="39">
        <v>44.4</v>
      </c>
      <c r="J10" s="37">
        <v>4.05</v>
      </c>
      <c r="K10" s="39">
        <v>41.1</v>
      </c>
      <c r="L10" s="111" t="s">
        <v>109</v>
      </c>
      <c r="M10" s="111"/>
    </row>
    <row r="11" spans="1:14">
      <c r="A11" s="41" t="s">
        <v>132</v>
      </c>
      <c r="B11" s="47" t="s">
        <v>127</v>
      </c>
      <c r="C11" s="47" t="s">
        <v>169</v>
      </c>
      <c r="D11" s="43">
        <v>5487</v>
      </c>
      <c r="E11" s="43">
        <v>236835360</v>
      </c>
      <c r="F11" s="43">
        <v>717</v>
      </c>
      <c r="G11" s="45">
        <v>86.5</v>
      </c>
      <c r="H11" s="46">
        <v>54.8</v>
      </c>
      <c r="I11" s="46">
        <v>44.3</v>
      </c>
      <c r="J11" s="44">
        <v>4.05</v>
      </c>
      <c r="K11" s="46">
        <v>41</v>
      </c>
      <c r="L11" s="110" t="s">
        <v>109</v>
      </c>
      <c r="M11" s="110"/>
    </row>
    <row r="12" spans="1:14">
      <c r="A12" s="34" t="s">
        <v>133</v>
      </c>
      <c r="B12" s="35" t="s">
        <v>123</v>
      </c>
      <c r="C12" s="47" t="s">
        <v>169</v>
      </c>
      <c r="D12" s="36">
        <v>5317</v>
      </c>
      <c r="E12" s="36">
        <v>224914695</v>
      </c>
      <c r="F12" s="36">
        <v>704</v>
      </c>
      <c r="G12" s="38">
        <v>86.7</v>
      </c>
      <c r="H12" s="39">
        <v>55.2</v>
      </c>
      <c r="I12" s="39">
        <v>44.6</v>
      </c>
      <c r="J12" s="37">
        <v>4.05</v>
      </c>
      <c r="K12" s="39">
        <v>41.1</v>
      </c>
      <c r="L12" s="111" t="s">
        <v>109</v>
      </c>
      <c r="M12" s="111"/>
    </row>
    <row r="13" spans="1:14">
      <c r="A13" s="41" t="s">
        <v>134</v>
      </c>
      <c r="B13" s="42" t="s">
        <v>125</v>
      </c>
      <c r="C13" s="35" t="s">
        <v>171</v>
      </c>
      <c r="D13" s="43">
        <v>4857</v>
      </c>
      <c r="E13" s="43">
        <v>211475050</v>
      </c>
      <c r="F13" s="43">
        <v>716</v>
      </c>
      <c r="G13" s="45">
        <v>86.3</v>
      </c>
      <c r="H13" s="46">
        <v>54.3</v>
      </c>
      <c r="I13" s="46">
        <v>44.3</v>
      </c>
      <c r="J13" s="44">
        <v>4.05</v>
      </c>
      <c r="K13" s="46">
        <v>41.1</v>
      </c>
      <c r="L13" s="110" t="s">
        <v>109</v>
      </c>
      <c r="M13" s="110"/>
    </row>
    <row r="14" spans="1:14">
      <c r="A14" s="34" t="s">
        <v>135</v>
      </c>
      <c r="B14" s="47" t="s">
        <v>127</v>
      </c>
      <c r="C14" s="35" t="s">
        <v>171</v>
      </c>
      <c r="D14" s="36">
        <v>4289</v>
      </c>
      <c r="E14" s="36">
        <v>177889590</v>
      </c>
      <c r="F14" s="36">
        <v>699</v>
      </c>
      <c r="G14" s="38">
        <v>86.2</v>
      </c>
      <c r="H14" s="39">
        <v>54.3</v>
      </c>
      <c r="I14" s="39">
        <v>43.5</v>
      </c>
      <c r="J14" s="37">
        <v>4.05</v>
      </c>
      <c r="K14" s="39">
        <v>41</v>
      </c>
      <c r="L14" s="111" t="s">
        <v>109</v>
      </c>
      <c r="M14" s="111"/>
    </row>
    <row r="15" spans="1:14">
      <c r="A15" s="41" t="s">
        <v>136</v>
      </c>
      <c r="B15" s="47" t="s">
        <v>127</v>
      </c>
      <c r="C15" s="35" t="s">
        <v>171</v>
      </c>
      <c r="D15" s="43">
        <v>4090</v>
      </c>
      <c r="E15" s="43">
        <v>174644680</v>
      </c>
      <c r="F15" s="43">
        <v>704</v>
      </c>
      <c r="G15" s="45">
        <v>86.8</v>
      </c>
      <c r="H15" s="46">
        <v>54.4</v>
      </c>
      <c r="I15" s="46">
        <v>44.2</v>
      </c>
      <c r="J15" s="44">
        <v>4.04</v>
      </c>
      <c r="K15" s="46">
        <v>41.1</v>
      </c>
      <c r="L15" s="110" t="s">
        <v>109</v>
      </c>
      <c r="M15" s="110"/>
    </row>
    <row r="16" spans="1:14">
      <c r="A16" s="34" t="s">
        <v>137</v>
      </c>
      <c r="B16" s="49" t="s">
        <v>138</v>
      </c>
      <c r="C16" s="35" t="s">
        <v>171</v>
      </c>
      <c r="D16" s="36">
        <v>3757</v>
      </c>
      <c r="E16" s="36">
        <v>162843570</v>
      </c>
      <c r="F16" s="36">
        <v>713</v>
      </c>
      <c r="G16" s="38">
        <v>86.8</v>
      </c>
      <c r="H16" s="39">
        <v>54.1</v>
      </c>
      <c r="I16" s="39">
        <v>44.9</v>
      </c>
      <c r="J16" s="37">
        <v>4.05</v>
      </c>
      <c r="K16" s="39">
        <v>41.1</v>
      </c>
      <c r="L16" s="111" t="s">
        <v>109</v>
      </c>
      <c r="M16" s="111"/>
    </row>
    <row r="17" spans="1:13">
      <c r="A17" s="41" t="s">
        <v>139</v>
      </c>
      <c r="B17" s="42" t="s">
        <v>125</v>
      </c>
      <c r="C17" s="35" t="s">
        <v>171</v>
      </c>
      <c r="D17" s="43">
        <v>3370</v>
      </c>
      <c r="E17" s="43">
        <v>142145970</v>
      </c>
      <c r="F17" s="43">
        <v>713</v>
      </c>
      <c r="G17" s="45">
        <v>86.8</v>
      </c>
      <c r="H17" s="46">
        <v>54.4</v>
      </c>
      <c r="I17" s="46">
        <v>46.2</v>
      </c>
      <c r="J17" s="44">
        <v>4.04</v>
      </c>
      <c r="K17" s="46">
        <v>41</v>
      </c>
      <c r="L17" s="110" t="s">
        <v>109</v>
      </c>
      <c r="M17" s="110"/>
    </row>
    <row r="18" spans="1:13">
      <c r="A18" s="34" t="s">
        <v>140</v>
      </c>
      <c r="B18" s="42" t="s">
        <v>125</v>
      </c>
      <c r="C18" s="35" t="s">
        <v>171</v>
      </c>
      <c r="D18" s="36">
        <v>3013</v>
      </c>
      <c r="E18" s="36">
        <v>131544915</v>
      </c>
      <c r="F18" s="36">
        <v>716</v>
      </c>
      <c r="G18" s="38">
        <v>86.5</v>
      </c>
      <c r="H18" s="39">
        <v>55.8</v>
      </c>
      <c r="I18" s="39">
        <v>44.2</v>
      </c>
      <c r="J18" s="37">
        <v>4.04</v>
      </c>
      <c r="K18" s="39">
        <v>41.1</v>
      </c>
      <c r="L18" s="111" t="s">
        <v>109</v>
      </c>
      <c r="M18" s="111"/>
    </row>
    <row r="19" spans="1:13">
      <c r="A19" s="41" t="s">
        <v>141</v>
      </c>
      <c r="B19" s="48" t="s">
        <v>131</v>
      </c>
      <c r="C19" s="35" t="s">
        <v>171</v>
      </c>
      <c r="D19" s="43">
        <v>2694</v>
      </c>
      <c r="E19" s="43">
        <v>115679185</v>
      </c>
      <c r="F19" s="43">
        <v>723</v>
      </c>
      <c r="G19" s="45">
        <v>86.8</v>
      </c>
      <c r="H19" s="46">
        <v>55.5</v>
      </c>
      <c r="I19" s="46">
        <v>45.4</v>
      </c>
      <c r="J19" s="44">
        <v>4.05</v>
      </c>
      <c r="K19" s="46">
        <v>41.1</v>
      </c>
      <c r="L19" s="110" t="s">
        <v>109</v>
      </c>
      <c r="M19" s="110"/>
    </row>
    <row r="20" spans="1:13">
      <c r="A20" s="34" t="s">
        <v>172</v>
      </c>
      <c r="B20" s="48" t="s">
        <v>131</v>
      </c>
      <c r="C20" s="35" t="s">
        <v>171</v>
      </c>
      <c r="D20" s="36">
        <v>2205</v>
      </c>
      <c r="E20" s="36">
        <v>91956105</v>
      </c>
      <c r="F20" s="36">
        <v>698</v>
      </c>
      <c r="G20" s="38">
        <v>86.9</v>
      </c>
      <c r="H20" s="39">
        <v>55.3</v>
      </c>
      <c r="I20" s="39">
        <v>45.6</v>
      </c>
      <c r="J20" s="37">
        <v>4.07</v>
      </c>
      <c r="K20" s="39">
        <v>41.1</v>
      </c>
      <c r="L20" s="111" t="s">
        <v>109</v>
      </c>
      <c r="M20" s="111"/>
    </row>
    <row r="21" spans="1:13">
      <c r="A21" s="41" t="s">
        <v>173</v>
      </c>
      <c r="B21" s="48" t="s">
        <v>131</v>
      </c>
      <c r="C21" s="35" t="s">
        <v>171</v>
      </c>
      <c r="D21" s="43">
        <v>1636</v>
      </c>
      <c r="E21" s="43">
        <v>71997965</v>
      </c>
      <c r="F21" s="43">
        <v>733</v>
      </c>
      <c r="G21" s="45">
        <v>86.9</v>
      </c>
      <c r="H21" s="46">
        <v>55.8</v>
      </c>
      <c r="I21" s="46">
        <v>45.9</v>
      </c>
      <c r="J21" s="44">
        <v>4.03</v>
      </c>
      <c r="K21" s="46">
        <v>41.1</v>
      </c>
      <c r="L21" s="110" t="s">
        <v>109</v>
      </c>
      <c r="M21" s="110"/>
    </row>
    <row r="22" spans="1:13">
      <c r="A22" s="34" t="s">
        <v>174</v>
      </c>
      <c r="B22" s="112" t="s">
        <v>175</v>
      </c>
      <c r="C22" s="35" t="s">
        <v>171</v>
      </c>
      <c r="D22" s="36">
        <v>1544</v>
      </c>
      <c r="E22" s="36">
        <v>63146225</v>
      </c>
      <c r="F22" s="36">
        <v>705</v>
      </c>
      <c r="G22" s="38">
        <v>86.6</v>
      </c>
      <c r="H22" s="39">
        <v>56.2</v>
      </c>
      <c r="I22" s="39">
        <v>44.1</v>
      </c>
      <c r="J22" s="37">
        <v>4.04</v>
      </c>
      <c r="K22" s="39">
        <v>41.1</v>
      </c>
      <c r="L22" s="111" t="s">
        <v>154</v>
      </c>
      <c r="M22" s="111"/>
    </row>
    <row r="23" spans="1:13">
      <c r="A23" s="41" t="s">
        <v>176</v>
      </c>
      <c r="B23" s="49" t="s">
        <v>138</v>
      </c>
      <c r="C23" s="35" t="s">
        <v>171</v>
      </c>
      <c r="D23" s="43">
        <v>1401</v>
      </c>
      <c r="E23" s="43">
        <v>59823360</v>
      </c>
      <c r="F23" s="43">
        <v>711</v>
      </c>
      <c r="G23" s="45">
        <v>87</v>
      </c>
      <c r="H23" s="46">
        <v>55.4</v>
      </c>
      <c r="I23" s="46">
        <v>45</v>
      </c>
      <c r="J23" s="44">
        <v>4.03</v>
      </c>
      <c r="K23" s="46">
        <v>41.1</v>
      </c>
      <c r="L23" s="110" t="s">
        <v>109</v>
      </c>
      <c r="M23" s="110"/>
    </row>
    <row r="24" spans="1:13">
      <c r="A24" s="34" t="s">
        <v>177</v>
      </c>
      <c r="B24" s="42" t="s">
        <v>125</v>
      </c>
      <c r="C24" s="35" t="s">
        <v>171</v>
      </c>
      <c r="D24" s="36">
        <v>1208</v>
      </c>
      <c r="E24" s="36">
        <v>54659275</v>
      </c>
      <c r="F24" s="36">
        <v>739</v>
      </c>
      <c r="G24" s="38">
        <v>86.7</v>
      </c>
      <c r="H24" s="39">
        <v>56.6</v>
      </c>
      <c r="I24" s="39">
        <v>45</v>
      </c>
      <c r="J24" s="37">
        <v>4.0599999999999996</v>
      </c>
      <c r="K24" s="39">
        <v>41</v>
      </c>
      <c r="L24" s="111" t="s">
        <v>109</v>
      </c>
      <c r="M24" s="111"/>
    </row>
    <row r="25" spans="1:13">
      <c r="A25" s="41" t="s">
        <v>178</v>
      </c>
      <c r="B25" s="42" t="s">
        <v>125</v>
      </c>
      <c r="C25" s="48" t="s">
        <v>170</v>
      </c>
      <c r="D25" s="43">
        <v>1123</v>
      </c>
      <c r="E25" s="43">
        <v>45184220</v>
      </c>
      <c r="F25" s="43">
        <v>703</v>
      </c>
      <c r="G25" s="45">
        <v>86.7</v>
      </c>
      <c r="H25" s="46">
        <v>56.2</v>
      </c>
      <c r="I25" s="46">
        <v>46.3</v>
      </c>
      <c r="J25" s="44">
        <v>4.07</v>
      </c>
      <c r="K25" s="46">
        <v>41.1</v>
      </c>
      <c r="L25" s="110" t="s">
        <v>155</v>
      </c>
      <c r="M25" s="110"/>
    </row>
    <row r="26" spans="1:13">
      <c r="A26" s="34" t="s">
        <v>179</v>
      </c>
      <c r="B26" s="35" t="s">
        <v>123</v>
      </c>
      <c r="C26" s="48" t="s">
        <v>170</v>
      </c>
      <c r="D26" s="36">
        <v>979</v>
      </c>
      <c r="E26" s="36">
        <v>41736960</v>
      </c>
      <c r="F26" s="36">
        <v>716</v>
      </c>
      <c r="G26" s="38">
        <v>86.5</v>
      </c>
      <c r="H26" s="39">
        <v>55.5</v>
      </c>
      <c r="I26" s="39">
        <v>45.9</v>
      </c>
      <c r="J26" s="37">
        <v>4.05</v>
      </c>
      <c r="K26" s="39">
        <v>41</v>
      </c>
      <c r="L26" s="111" t="s">
        <v>109</v>
      </c>
      <c r="M26" s="111"/>
    </row>
    <row r="27" spans="1:13">
      <c r="A27" s="41" t="s">
        <v>180</v>
      </c>
      <c r="B27" s="42" t="s">
        <v>125</v>
      </c>
      <c r="C27" s="48" t="s">
        <v>170</v>
      </c>
      <c r="D27" s="43">
        <v>812</v>
      </c>
      <c r="E27" s="43">
        <v>35203815</v>
      </c>
      <c r="F27" s="43">
        <v>706</v>
      </c>
      <c r="G27" s="45">
        <v>86.9</v>
      </c>
      <c r="H27" s="46">
        <v>56.9</v>
      </c>
      <c r="I27" s="46">
        <v>44.7</v>
      </c>
      <c r="J27" s="44">
        <v>4.08</v>
      </c>
      <c r="K27" s="46">
        <v>41</v>
      </c>
      <c r="L27" s="110" t="s">
        <v>154</v>
      </c>
      <c r="M27" s="110"/>
    </row>
    <row r="28" spans="1:13">
      <c r="A28" s="34" t="s">
        <v>181</v>
      </c>
      <c r="B28" s="42" t="s">
        <v>125</v>
      </c>
      <c r="C28" s="48" t="s">
        <v>170</v>
      </c>
      <c r="D28" s="36">
        <v>856</v>
      </c>
      <c r="E28" s="36">
        <v>34032590</v>
      </c>
      <c r="F28" s="36">
        <v>703</v>
      </c>
      <c r="G28" s="38">
        <v>86.5</v>
      </c>
      <c r="H28" s="39">
        <v>53.9</v>
      </c>
      <c r="I28" s="39">
        <v>45.3</v>
      </c>
      <c r="J28" s="37">
        <v>4.0599999999999996</v>
      </c>
      <c r="K28" s="39">
        <v>41.1</v>
      </c>
      <c r="L28" s="111" t="s">
        <v>155</v>
      </c>
      <c r="M28" s="111"/>
    </row>
    <row r="29" spans="1:13">
      <c r="A29" s="41" t="s">
        <v>182</v>
      </c>
      <c r="B29" s="47" t="s">
        <v>127</v>
      </c>
      <c r="C29" s="48" t="s">
        <v>170</v>
      </c>
      <c r="D29" s="43">
        <v>557</v>
      </c>
      <c r="E29" s="43">
        <v>25752090</v>
      </c>
      <c r="F29" s="43">
        <v>744</v>
      </c>
      <c r="G29" s="45">
        <v>87.1</v>
      </c>
      <c r="H29" s="46">
        <v>58.2</v>
      </c>
      <c r="I29" s="46">
        <v>46.1</v>
      </c>
      <c r="J29" s="44">
        <v>4.05</v>
      </c>
      <c r="K29" s="46">
        <v>41</v>
      </c>
      <c r="L29" s="110" t="s">
        <v>109</v>
      </c>
      <c r="M29" s="110"/>
    </row>
    <row r="30" spans="1:13">
      <c r="A30" s="34" t="s">
        <v>183</v>
      </c>
      <c r="B30" s="112" t="s">
        <v>175</v>
      </c>
      <c r="C30" s="48" t="s">
        <v>170</v>
      </c>
      <c r="D30" s="36">
        <v>437</v>
      </c>
      <c r="E30" s="36">
        <v>19485600</v>
      </c>
      <c r="F30" s="36">
        <v>738</v>
      </c>
      <c r="G30" s="38">
        <v>86.6</v>
      </c>
      <c r="H30" s="39">
        <v>56.1</v>
      </c>
      <c r="I30" s="39">
        <v>44.9</v>
      </c>
      <c r="J30" s="37">
        <v>4.08</v>
      </c>
      <c r="K30" s="39">
        <v>41.1</v>
      </c>
      <c r="L30" s="111" t="s">
        <v>109</v>
      </c>
      <c r="M30" s="111"/>
    </row>
    <row r="31" spans="1:13">
      <c r="A31" s="41" t="s">
        <v>184</v>
      </c>
      <c r="B31" s="112" t="s">
        <v>175</v>
      </c>
      <c r="C31" s="48" t="s">
        <v>170</v>
      </c>
      <c r="D31" s="43">
        <v>332</v>
      </c>
      <c r="E31" s="43">
        <v>14727890</v>
      </c>
      <c r="F31" s="43">
        <v>717</v>
      </c>
      <c r="G31" s="45">
        <v>87.2</v>
      </c>
      <c r="H31" s="46">
        <v>54.2</v>
      </c>
      <c r="I31" s="46">
        <v>47.6</v>
      </c>
      <c r="J31" s="44">
        <v>4.03</v>
      </c>
      <c r="K31" s="46">
        <v>40.9</v>
      </c>
      <c r="L31" s="110" t="s">
        <v>109</v>
      </c>
      <c r="M31" s="110"/>
    </row>
    <row r="32" spans="1:13">
      <c r="A32" s="34" t="s">
        <v>185</v>
      </c>
      <c r="B32" s="112" t="s">
        <v>175</v>
      </c>
      <c r="C32" s="48" t="s">
        <v>170</v>
      </c>
      <c r="D32" s="36">
        <v>313</v>
      </c>
      <c r="E32" s="36">
        <v>13633460</v>
      </c>
      <c r="F32" s="36">
        <v>770</v>
      </c>
      <c r="G32" s="38">
        <v>86.5</v>
      </c>
      <c r="H32" s="39">
        <v>57.2</v>
      </c>
      <c r="I32" s="39">
        <v>44.1</v>
      </c>
      <c r="J32" s="37">
        <v>4.0599999999999996</v>
      </c>
      <c r="K32" s="39">
        <v>41</v>
      </c>
      <c r="L32" s="111" t="s">
        <v>109</v>
      </c>
      <c r="M32" s="111"/>
    </row>
    <row r="33" spans="1:13">
      <c r="A33" s="41" t="s">
        <v>186</v>
      </c>
      <c r="B33" s="112" t="s">
        <v>175</v>
      </c>
      <c r="C33" s="48" t="s">
        <v>170</v>
      </c>
      <c r="D33" s="43">
        <v>238</v>
      </c>
      <c r="E33" s="43">
        <v>10105995</v>
      </c>
      <c r="F33" s="43">
        <v>721</v>
      </c>
      <c r="G33" s="45">
        <v>87</v>
      </c>
      <c r="H33" s="46">
        <v>54.6</v>
      </c>
      <c r="I33" s="46">
        <v>45</v>
      </c>
      <c r="J33" s="44">
        <v>3.99</v>
      </c>
      <c r="K33" s="46">
        <v>41.2</v>
      </c>
      <c r="L33" s="110" t="s">
        <v>155</v>
      </c>
      <c r="M33" s="110"/>
    </row>
    <row r="34" spans="1:13">
      <c r="A34" s="34" t="s">
        <v>187</v>
      </c>
      <c r="B34" s="112" t="s">
        <v>175</v>
      </c>
      <c r="C34" s="48" t="s">
        <v>170</v>
      </c>
      <c r="D34" s="36">
        <v>224</v>
      </c>
      <c r="E34" s="36">
        <v>9857965</v>
      </c>
      <c r="F34" s="36">
        <v>760</v>
      </c>
      <c r="G34" s="38">
        <v>87.9</v>
      </c>
      <c r="H34" s="39">
        <v>56.2</v>
      </c>
      <c r="I34" s="39">
        <v>45.5</v>
      </c>
      <c r="J34" s="37">
        <v>4.05</v>
      </c>
      <c r="K34" s="39">
        <v>41.2</v>
      </c>
      <c r="L34" s="111" t="s">
        <v>155</v>
      </c>
      <c r="M34" s="111"/>
    </row>
    <row r="35" spans="1:13">
      <c r="A35" s="41" t="s">
        <v>188</v>
      </c>
      <c r="B35" s="112" t="s">
        <v>175</v>
      </c>
      <c r="C35" s="48" t="s">
        <v>170</v>
      </c>
      <c r="D35" s="43">
        <v>230</v>
      </c>
      <c r="E35" s="43">
        <v>9511520</v>
      </c>
      <c r="F35" s="43">
        <v>746</v>
      </c>
      <c r="G35" s="45">
        <v>86.2</v>
      </c>
      <c r="H35" s="46">
        <v>51.7</v>
      </c>
      <c r="I35" s="46">
        <v>41.7</v>
      </c>
      <c r="J35" s="44">
        <v>3.99</v>
      </c>
      <c r="K35" s="46">
        <v>40.9</v>
      </c>
      <c r="L35" s="110" t="s">
        <v>109</v>
      </c>
      <c r="M35" s="110"/>
    </row>
    <row r="36" spans="1:13">
      <c r="A36" s="34" t="s">
        <v>189</v>
      </c>
      <c r="B36" s="112" t="s">
        <v>175</v>
      </c>
      <c r="C36" s="48" t="s">
        <v>170</v>
      </c>
      <c r="D36" s="36">
        <v>209</v>
      </c>
      <c r="E36" s="36">
        <v>8028395</v>
      </c>
      <c r="F36" s="36">
        <v>675</v>
      </c>
      <c r="G36" s="38">
        <v>84.9</v>
      </c>
      <c r="H36" s="39">
        <v>53.1</v>
      </c>
      <c r="I36" s="39">
        <v>42.1</v>
      </c>
      <c r="J36" s="37">
        <v>4.0599999999999996</v>
      </c>
      <c r="K36" s="39">
        <v>41</v>
      </c>
      <c r="L36" s="111" t="s">
        <v>109</v>
      </c>
      <c r="M36" s="111"/>
    </row>
    <row r="37" spans="1:13">
      <c r="A37" s="41" t="s">
        <v>190</v>
      </c>
      <c r="B37" s="47" t="s">
        <v>127</v>
      </c>
      <c r="C37" s="48" t="s">
        <v>170</v>
      </c>
      <c r="D37" s="43">
        <v>124</v>
      </c>
      <c r="E37" s="43">
        <v>5440040</v>
      </c>
      <c r="F37" s="43">
        <v>718</v>
      </c>
      <c r="G37" s="45">
        <v>86.9</v>
      </c>
      <c r="H37" s="46">
        <v>57.3</v>
      </c>
      <c r="I37" s="46">
        <v>48.4</v>
      </c>
      <c r="J37" s="44">
        <v>4.01</v>
      </c>
      <c r="K37" s="46">
        <v>41</v>
      </c>
      <c r="L37" s="110" t="s">
        <v>109</v>
      </c>
      <c r="M37" s="110"/>
    </row>
    <row r="38" spans="1:13">
      <c r="A38" s="34" t="s">
        <v>191</v>
      </c>
      <c r="B38" s="35" t="s">
        <v>123</v>
      </c>
      <c r="C38" s="48" t="s">
        <v>170</v>
      </c>
      <c r="D38" s="36">
        <v>104</v>
      </c>
      <c r="E38" s="36">
        <v>4936305</v>
      </c>
      <c r="F38" s="36">
        <v>808</v>
      </c>
      <c r="G38" s="38">
        <v>87.6</v>
      </c>
      <c r="H38" s="39">
        <v>51.9</v>
      </c>
      <c r="I38" s="39">
        <v>51.9</v>
      </c>
      <c r="J38" s="37">
        <v>4.03</v>
      </c>
      <c r="K38" s="39">
        <v>40.799999999999997</v>
      </c>
      <c r="L38" s="111" t="s">
        <v>109</v>
      </c>
      <c r="M38" s="111"/>
    </row>
    <row r="39" spans="1:13">
      <c r="A39" s="41" t="s">
        <v>192</v>
      </c>
      <c r="B39" s="47" t="s">
        <v>127</v>
      </c>
      <c r="C39" s="48" t="s">
        <v>170</v>
      </c>
      <c r="D39" s="43">
        <v>86</v>
      </c>
      <c r="E39" s="43">
        <v>4034575</v>
      </c>
      <c r="F39" s="43">
        <v>723</v>
      </c>
      <c r="G39" s="45">
        <v>89.4</v>
      </c>
      <c r="H39" s="46">
        <v>62.8</v>
      </c>
      <c r="I39" s="46">
        <v>57</v>
      </c>
      <c r="J39" s="44">
        <v>4.01</v>
      </c>
      <c r="K39" s="46">
        <v>41.6</v>
      </c>
      <c r="L39" s="110" t="s">
        <v>153</v>
      </c>
      <c r="M39" s="110"/>
    </row>
    <row r="40" spans="1:13">
      <c r="A40" s="34" t="s">
        <v>193</v>
      </c>
      <c r="B40" s="42" t="s">
        <v>125</v>
      </c>
      <c r="C40" s="48" t="s">
        <v>170</v>
      </c>
      <c r="D40" s="36">
        <v>97</v>
      </c>
      <c r="E40" s="36">
        <v>3896625</v>
      </c>
      <c r="F40" s="36">
        <v>642</v>
      </c>
      <c r="G40" s="38">
        <v>86.1</v>
      </c>
      <c r="H40" s="39">
        <v>55.7</v>
      </c>
      <c r="I40" s="39">
        <v>44.3</v>
      </c>
      <c r="J40" s="37">
        <v>4.17</v>
      </c>
      <c r="K40" s="39">
        <v>40.9</v>
      </c>
      <c r="L40" s="111" t="s">
        <v>155</v>
      </c>
      <c r="M40" s="111"/>
    </row>
  </sheetData>
  <mergeCells count="2">
    <mergeCell ref="A1:N2"/>
    <mergeCell ref="A3:N3"/>
  </mergeCells>
  <conditionalFormatting sqref="E5:E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showGridLines="0" workbookViewId="0">
      <pane ySplit="4" topLeftCell="A8" activePane="bottomLeft" state="frozen"/>
      <selection pane="bottomLeft" activeCell="B20" sqref="B20"/>
    </sheetView>
  </sheetViews>
  <sheetFormatPr defaultRowHeight="15"/>
  <cols>
    <col min="1" max="1" width="3" customWidth="1"/>
    <col min="2" max="2" width="24" customWidth="1"/>
    <col min="3" max="3" width="14" customWidth="1"/>
    <col min="4" max="5" width="16" customWidth="1"/>
    <col min="6" max="11" width="14" customWidth="1"/>
    <col min="12" max="12" width="35" customWidth="1"/>
  </cols>
  <sheetData>
    <row r="1" spans="1:12" ht="24" customHeight="1">
      <c r="A1" s="168" t="s">
        <v>194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1:12" ht="20.100000000000001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</row>
    <row r="3" spans="1:12" ht="20.100000000000001" customHeight="1">
      <c r="A3" s="169" t="s">
        <v>195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</row>
    <row r="4" spans="1:12">
      <c r="A4" s="32" t="s">
        <v>196</v>
      </c>
      <c r="B4" s="32" t="s">
        <v>197</v>
      </c>
      <c r="C4" s="32" t="s">
        <v>144</v>
      </c>
      <c r="D4" s="32" t="s">
        <v>117</v>
      </c>
      <c r="E4" s="32" t="s">
        <v>146</v>
      </c>
      <c r="F4" s="32" t="s">
        <v>118</v>
      </c>
      <c r="G4" s="32" t="s">
        <v>198</v>
      </c>
      <c r="H4" s="32" t="s">
        <v>199</v>
      </c>
      <c r="I4" s="32" t="s">
        <v>200</v>
      </c>
      <c r="J4" s="32" t="s">
        <v>201</v>
      </c>
      <c r="K4" s="32" t="s">
        <v>147</v>
      </c>
      <c r="L4" s="32" t="s">
        <v>202</v>
      </c>
    </row>
    <row r="5" spans="1:12">
      <c r="A5" s="50" t="s">
        <v>203</v>
      </c>
      <c r="B5" s="113" t="s">
        <v>204</v>
      </c>
      <c r="C5" s="51">
        <v>293</v>
      </c>
      <c r="D5" s="51">
        <v>126</v>
      </c>
      <c r="E5" s="51">
        <v>126</v>
      </c>
      <c r="F5" s="53">
        <v>3.98</v>
      </c>
      <c r="G5" s="54">
        <v>1</v>
      </c>
      <c r="H5" s="54">
        <v>54.4</v>
      </c>
      <c r="I5" s="54">
        <v>223.8</v>
      </c>
      <c r="J5" s="52">
        <v>43</v>
      </c>
      <c r="K5" s="52">
        <v>41.1</v>
      </c>
      <c r="L5" s="3" t="s">
        <v>205</v>
      </c>
    </row>
    <row r="6" spans="1:12">
      <c r="A6" s="104" t="s">
        <v>206</v>
      </c>
      <c r="B6" s="48" t="s">
        <v>207</v>
      </c>
      <c r="C6" s="105">
        <v>3036</v>
      </c>
      <c r="D6" s="105">
        <v>97</v>
      </c>
      <c r="E6" s="105">
        <v>97</v>
      </c>
      <c r="F6" s="107">
        <v>4.04</v>
      </c>
      <c r="G6" s="108">
        <v>0.9</v>
      </c>
      <c r="H6" s="108">
        <v>21.1</v>
      </c>
      <c r="I6" s="108">
        <v>91.7</v>
      </c>
      <c r="J6" s="106">
        <v>55.1</v>
      </c>
      <c r="K6" s="106">
        <v>40.9</v>
      </c>
      <c r="L6" s="114" t="s">
        <v>208</v>
      </c>
    </row>
    <row r="7" spans="1:12">
      <c r="A7" s="62" t="s">
        <v>209</v>
      </c>
      <c r="B7" s="35" t="s">
        <v>210</v>
      </c>
      <c r="C7" s="63">
        <v>2439</v>
      </c>
      <c r="D7" s="63">
        <v>195</v>
      </c>
      <c r="E7" s="63">
        <v>195</v>
      </c>
      <c r="F7" s="65">
        <v>3.96</v>
      </c>
      <c r="G7" s="66">
        <v>0.9</v>
      </c>
      <c r="H7" s="66">
        <v>49.9</v>
      </c>
      <c r="I7" s="66">
        <v>202.1</v>
      </c>
      <c r="J7" s="64">
        <v>33.200000000000003</v>
      </c>
      <c r="K7" s="64">
        <v>41.1</v>
      </c>
      <c r="L7" s="13" t="s">
        <v>211</v>
      </c>
    </row>
    <row r="8" spans="1:12">
      <c r="A8" s="34" t="s">
        <v>212</v>
      </c>
      <c r="B8" s="115" t="s">
        <v>213</v>
      </c>
      <c r="C8" s="36">
        <v>2979</v>
      </c>
      <c r="D8" s="36">
        <v>1113</v>
      </c>
      <c r="E8" s="36">
        <v>1113</v>
      </c>
      <c r="F8" s="37">
        <v>3.91</v>
      </c>
      <c r="G8" s="38">
        <v>12.6</v>
      </c>
      <c r="H8" s="38">
        <v>38.299999999999997</v>
      </c>
      <c r="I8" s="38">
        <v>184.9</v>
      </c>
      <c r="J8" s="39">
        <v>24.4</v>
      </c>
      <c r="K8" s="39">
        <v>41</v>
      </c>
      <c r="L8" s="111" t="s">
        <v>214</v>
      </c>
    </row>
    <row r="9" spans="1:12">
      <c r="A9" s="92" t="s">
        <v>215</v>
      </c>
      <c r="B9" s="47" t="s">
        <v>216</v>
      </c>
      <c r="C9" s="93">
        <v>24823</v>
      </c>
      <c r="D9" s="93">
        <v>616</v>
      </c>
      <c r="E9" s="93">
        <v>616</v>
      </c>
      <c r="F9" s="95">
        <v>3.95</v>
      </c>
      <c r="G9" s="96">
        <v>13.5</v>
      </c>
      <c r="H9" s="96">
        <v>15.4</v>
      </c>
      <c r="I9" s="96">
        <v>73.099999999999994</v>
      </c>
      <c r="J9" s="94">
        <v>32</v>
      </c>
      <c r="K9" s="94">
        <v>41</v>
      </c>
      <c r="L9" s="116" t="s">
        <v>217</v>
      </c>
    </row>
    <row r="10" spans="1:12">
      <c r="A10" s="117" t="s">
        <v>218</v>
      </c>
      <c r="B10" s="118" t="s">
        <v>219</v>
      </c>
      <c r="C10" s="119">
        <v>66430</v>
      </c>
      <c r="D10" s="119">
        <v>784</v>
      </c>
      <c r="E10" s="119">
        <v>784</v>
      </c>
      <c r="F10" s="120">
        <v>4.0999999999999996</v>
      </c>
      <c r="G10" s="121">
        <v>11.3</v>
      </c>
      <c r="H10" s="121">
        <v>5.7</v>
      </c>
      <c r="I10" s="121">
        <v>68.5</v>
      </c>
      <c r="J10" s="122">
        <v>66</v>
      </c>
      <c r="K10" s="122">
        <v>41.1</v>
      </c>
      <c r="L10" s="18" t="s">
        <v>220</v>
      </c>
    </row>
    <row r="14" spans="1:12" ht="20.100000000000001" customHeight="1">
      <c r="A14" s="169" t="s">
        <v>221</v>
      </c>
      <c r="B14" s="196"/>
      <c r="C14" s="196"/>
      <c r="D14" s="196"/>
      <c r="E14" s="196"/>
      <c r="F14" s="196"/>
      <c r="G14" s="196"/>
      <c r="H14" s="196"/>
      <c r="I14" s="196"/>
      <c r="J14" s="196"/>
    </row>
    <row r="15" spans="1:12">
      <c r="A15" s="32" t="s">
        <v>222</v>
      </c>
      <c r="B15" s="32" t="s">
        <v>144</v>
      </c>
      <c r="C15" s="32" t="s">
        <v>118</v>
      </c>
      <c r="D15" s="32" t="s">
        <v>119</v>
      </c>
      <c r="E15" s="32" t="s">
        <v>117</v>
      </c>
      <c r="F15" s="32" t="s">
        <v>120</v>
      </c>
      <c r="G15" s="32" t="s">
        <v>198</v>
      </c>
      <c r="H15" s="32" t="s">
        <v>199</v>
      </c>
      <c r="I15" s="32" t="s">
        <v>147</v>
      </c>
      <c r="J15" s="32" t="s">
        <v>223</v>
      </c>
    </row>
    <row r="16" spans="1:12">
      <c r="A16" s="62" t="s">
        <v>224</v>
      </c>
      <c r="B16" s="63">
        <v>44904</v>
      </c>
      <c r="C16" s="123">
        <v>3.7989999999999999</v>
      </c>
      <c r="D16" s="65">
        <v>83.25</v>
      </c>
      <c r="E16" s="63">
        <v>636</v>
      </c>
      <c r="F16" s="64">
        <v>0</v>
      </c>
      <c r="G16" s="65">
        <v>10.49</v>
      </c>
      <c r="H16" s="65">
        <v>11.93</v>
      </c>
      <c r="I16" s="67">
        <v>41.06</v>
      </c>
      <c r="J16" s="67">
        <v>27.53</v>
      </c>
    </row>
    <row r="17" spans="1:10">
      <c r="A17" s="92" t="s">
        <v>225</v>
      </c>
      <c r="B17" s="93">
        <v>55096</v>
      </c>
      <c r="C17" s="124">
        <v>4.25</v>
      </c>
      <c r="D17" s="95">
        <v>89.41</v>
      </c>
      <c r="E17" s="93">
        <v>779</v>
      </c>
      <c r="F17" s="94">
        <v>0</v>
      </c>
      <c r="G17" s="95">
        <v>11.9</v>
      </c>
      <c r="H17" s="95">
        <v>9.8800000000000008</v>
      </c>
      <c r="I17" s="97">
        <v>41.07</v>
      </c>
      <c r="J17" s="97">
        <v>58.86</v>
      </c>
    </row>
    <row r="18" spans="1:10">
      <c r="A18" s="184" t="s">
        <v>226</v>
      </c>
      <c r="B18" s="196"/>
      <c r="C18" s="196"/>
      <c r="D18" s="196"/>
      <c r="E18" s="196"/>
      <c r="F18" s="196"/>
      <c r="G18" s="196"/>
      <c r="H18" s="196"/>
      <c r="I18" s="196"/>
      <c r="J18" s="196"/>
    </row>
  </sheetData>
  <mergeCells count="4">
    <mergeCell ref="A3:L3"/>
    <mergeCell ref="A18:J18"/>
    <mergeCell ref="A14:J14"/>
    <mergeCell ref="A1:L2"/>
  </mergeCells>
  <conditionalFormatting sqref="D5:D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" customWidth="1"/>
    <col min="2" max="2" width="18" customWidth="1"/>
    <col min="3" max="3" width="14" customWidth="1"/>
    <col min="4" max="5" width="16" customWidth="1"/>
    <col min="6" max="10" width="14" customWidth="1"/>
    <col min="11" max="11" width="22" customWidth="1"/>
    <col min="12" max="12" width="12" customWidth="1"/>
  </cols>
  <sheetData>
    <row r="1" spans="1:12" ht="24" customHeight="1">
      <c r="A1" s="168" t="s">
        <v>227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1:12" ht="20.100000000000001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</row>
    <row r="3" spans="1:12" ht="20.100000000000001" customHeight="1">
      <c r="A3" s="169" t="s">
        <v>228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</row>
    <row r="4" spans="1:12">
      <c r="A4" s="32" t="s">
        <v>229</v>
      </c>
      <c r="B4" s="32" t="s">
        <v>144</v>
      </c>
      <c r="C4" s="32" t="s">
        <v>230</v>
      </c>
      <c r="D4" s="32" t="s">
        <v>116</v>
      </c>
      <c r="E4" s="32" t="s">
        <v>117</v>
      </c>
      <c r="F4" s="32" t="s">
        <v>146</v>
      </c>
      <c r="G4" s="32" t="s">
        <v>120</v>
      </c>
      <c r="H4" s="32" t="s">
        <v>147</v>
      </c>
      <c r="I4" s="32" t="s">
        <v>118</v>
      </c>
      <c r="J4" s="32" t="s">
        <v>167</v>
      </c>
      <c r="K4" s="32" t="s">
        <v>231</v>
      </c>
    </row>
    <row r="5" spans="1:12">
      <c r="A5" s="62" t="s">
        <v>232</v>
      </c>
      <c r="B5" s="63">
        <v>34815</v>
      </c>
      <c r="C5" s="63">
        <v>1486496915</v>
      </c>
      <c r="D5" s="63">
        <v>2092586</v>
      </c>
      <c r="E5" s="63">
        <v>713</v>
      </c>
      <c r="F5" s="63">
        <v>713</v>
      </c>
      <c r="G5" s="64">
        <v>0</v>
      </c>
      <c r="H5" s="67">
        <v>39</v>
      </c>
      <c r="I5" s="65">
        <v>4.04</v>
      </c>
      <c r="J5" s="13" t="s">
        <v>109</v>
      </c>
      <c r="K5" s="125">
        <v>12</v>
      </c>
    </row>
    <row r="6" spans="1:12">
      <c r="A6" s="104" t="s">
        <v>233</v>
      </c>
      <c r="B6" s="105">
        <v>30104</v>
      </c>
      <c r="C6" s="105">
        <v>1290083860</v>
      </c>
      <c r="D6" s="105">
        <v>1813391</v>
      </c>
      <c r="E6" s="105">
        <v>715</v>
      </c>
      <c r="F6" s="105">
        <v>715</v>
      </c>
      <c r="G6" s="106">
        <v>0</v>
      </c>
      <c r="H6" s="109">
        <v>41</v>
      </c>
      <c r="I6" s="107">
        <v>4.05</v>
      </c>
      <c r="J6" s="114" t="s">
        <v>109</v>
      </c>
      <c r="K6" s="126">
        <v>10</v>
      </c>
    </row>
    <row r="7" spans="1:12">
      <c r="A7" s="92" t="s">
        <v>234</v>
      </c>
      <c r="B7" s="93">
        <v>15050</v>
      </c>
      <c r="C7" s="93">
        <v>643524045</v>
      </c>
      <c r="D7" s="93">
        <v>904115</v>
      </c>
      <c r="E7" s="93">
        <v>711</v>
      </c>
      <c r="F7" s="93">
        <v>711</v>
      </c>
      <c r="G7" s="94">
        <v>0</v>
      </c>
      <c r="H7" s="97">
        <v>43</v>
      </c>
      <c r="I7" s="95">
        <v>4.05</v>
      </c>
      <c r="J7" s="116" t="s">
        <v>109</v>
      </c>
      <c r="K7" s="127">
        <v>8</v>
      </c>
    </row>
    <row r="8" spans="1:12">
      <c r="A8" s="74" t="s">
        <v>235</v>
      </c>
      <c r="B8" s="75">
        <v>9955</v>
      </c>
      <c r="C8" s="75">
        <v>428136680</v>
      </c>
      <c r="D8" s="75">
        <v>598833</v>
      </c>
      <c r="E8" s="75">
        <v>716</v>
      </c>
      <c r="F8" s="75">
        <v>716</v>
      </c>
      <c r="G8" s="76">
        <v>0</v>
      </c>
      <c r="H8" s="79">
        <v>42</v>
      </c>
      <c r="I8" s="77">
        <v>4.05</v>
      </c>
      <c r="J8" s="128" t="s">
        <v>109</v>
      </c>
      <c r="K8" s="129">
        <v>9</v>
      </c>
    </row>
    <row r="9" spans="1:12">
      <c r="A9" s="130" t="s">
        <v>236</v>
      </c>
      <c r="B9" s="131">
        <v>7070</v>
      </c>
      <c r="C9" s="131">
        <v>304068925</v>
      </c>
      <c r="D9" s="131">
        <v>423016</v>
      </c>
      <c r="E9" s="131">
        <v>726</v>
      </c>
      <c r="F9" s="131">
        <v>726</v>
      </c>
      <c r="G9" s="132">
        <v>0</v>
      </c>
      <c r="H9" s="133">
        <v>44</v>
      </c>
      <c r="I9" s="134">
        <v>4.0599999999999996</v>
      </c>
      <c r="J9" s="135" t="s">
        <v>109</v>
      </c>
      <c r="K9" s="136">
        <v>7</v>
      </c>
    </row>
    <row r="10" spans="1:12">
      <c r="A10" s="50" t="s">
        <v>237</v>
      </c>
      <c r="B10" s="51">
        <v>3006</v>
      </c>
      <c r="C10" s="51">
        <v>130937095</v>
      </c>
      <c r="D10" s="51">
        <v>179050</v>
      </c>
      <c r="E10" s="51">
        <v>714</v>
      </c>
      <c r="F10" s="51">
        <v>714</v>
      </c>
      <c r="G10" s="52">
        <v>0</v>
      </c>
      <c r="H10" s="55">
        <v>46</v>
      </c>
      <c r="I10" s="53">
        <v>4.05</v>
      </c>
      <c r="J10" s="3" t="s">
        <v>109</v>
      </c>
      <c r="K10" s="137">
        <v>5</v>
      </c>
    </row>
    <row r="14" spans="1:12" ht="20.100000000000001" customHeight="1">
      <c r="A14" s="169" t="s">
        <v>238</v>
      </c>
      <c r="B14" s="196"/>
      <c r="C14" s="196"/>
      <c r="D14" s="196"/>
      <c r="E14" s="196"/>
      <c r="F14" s="196"/>
      <c r="G14" s="196"/>
      <c r="H14" s="196"/>
      <c r="I14" s="196"/>
      <c r="J14" s="196"/>
    </row>
    <row r="15" spans="1:12">
      <c r="A15" s="32" t="s">
        <v>239</v>
      </c>
      <c r="B15" s="32" t="s">
        <v>144</v>
      </c>
      <c r="C15" s="32" t="s">
        <v>230</v>
      </c>
      <c r="D15" s="32" t="s">
        <v>240</v>
      </c>
      <c r="E15" s="32" t="s">
        <v>116</v>
      </c>
      <c r="F15" s="32" t="s">
        <v>118</v>
      </c>
      <c r="G15" s="32" t="s">
        <v>147</v>
      </c>
      <c r="H15" s="32" t="s">
        <v>148</v>
      </c>
      <c r="I15" s="32" t="s">
        <v>241</v>
      </c>
    </row>
    <row r="16" spans="1:12">
      <c r="A16" s="138" t="s">
        <v>242</v>
      </c>
      <c r="B16" s="93">
        <v>100000</v>
      </c>
      <c r="C16" s="93">
        <v>4283247520</v>
      </c>
      <c r="D16" s="93">
        <v>42832</v>
      </c>
      <c r="E16" s="93">
        <v>6010991</v>
      </c>
      <c r="F16" s="95">
        <v>4.05</v>
      </c>
      <c r="G16" s="94">
        <v>41.1</v>
      </c>
      <c r="H16" s="97">
        <v>100</v>
      </c>
      <c r="I16" s="92" t="s">
        <v>243</v>
      </c>
    </row>
  </sheetData>
  <mergeCells count="3">
    <mergeCell ref="A3:L3"/>
    <mergeCell ref="A14:J14"/>
    <mergeCell ref="A1:L2"/>
  </mergeCells>
  <conditionalFormatting sqref="H5:H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">
    <cfRule type="dataBar" priority="2">
      <dataBar>
        <cfvo type="min"/>
        <cfvo type="max"/>
        <color rgb="FF2E6DA4"/>
      </dataBar>
    </cfRule>
  </conditionalFormatting>
  <conditionalFormatting sqref="G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1"/>
  <sheetViews>
    <sheetView showGridLines="0"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12" width="14" customWidth="1"/>
    <col min="13" max="13" width="18" customWidth="1"/>
    <col min="14" max="14" width="20" customWidth="1"/>
  </cols>
  <sheetData>
    <row r="1" spans="1:13" ht="24" customHeight="1">
      <c r="A1" s="168" t="s">
        <v>244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</row>
    <row r="2" spans="1:13" ht="20.100000000000001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1:13" ht="20.100000000000001" customHeight="1">
      <c r="A3" s="169" t="s">
        <v>245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</row>
    <row r="4" spans="1:13">
      <c r="A4" s="32" t="s">
        <v>246</v>
      </c>
      <c r="B4" s="1" t="s">
        <v>247</v>
      </c>
      <c r="C4" s="1" t="s">
        <v>154</v>
      </c>
      <c r="D4" s="1" t="s">
        <v>248</v>
      </c>
      <c r="E4" s="1" t="s">
        <v>249</v>
      </c>
      <c r="F4" s="1" t="s">
        <v>250</v>
      </c>
      <c r="G4" s="1" t="s">
        <v>251</v>
      </c>
      <c r="H4" s="1" t="s">
        <v>252</v>
      </c>
      <c r="I4" s="1" t="s">
        <v>153</v>
      </c>
      <c r="J4" s="1" t="s">
        <v>155</v>
      </c>
      <c r="K4" s="1" t="s">
        <v>253</v>
      </c>
      <c r="L4" s="32" t="s">
        <v>254</v>
      </c>
      <c r="M4" s="32" t="s">
        <v>255</v>
      </c>
    </row>
    <row r="5" spans="1:13">
      <c r="A5" s="74" t="s">
        <v>256</v>
      </c>
      <c r="B5" s="75">
        <v>20887070</v>
      </c>
      <c r="C5" s="75">
        <v>27065850</v>
      </c>
      <c r="D5" s="75">
        <v>2095610</v>
      </c>
      <c r="E5" s="75">
        <v>33856890</v>
      </c>
      <c r="F5" s="75">
        <v>40783775</v>
      </c>
      <c r="G5" s="75">
        <v>171989430</v>
      </c>
      <c r="H5" s="75">
        <v>41422450</v>
      </c>
      <c r="I5" s="75">
        <v>30629325</v>
      </c>
      <c r="J5" s="75">
        <v>25683185</v>
      </c>
      <c r="K5" s="75">
        <v>48476735</v>
      </c>
      <c r="L5" s="139">
        <v>442890320</v>
      </c>
      <c r="M5" s="92" t="s">
        <v>109</v>
      </c>
    </row>
    <row r="6" spans="1:13">
      <c r="A6" s="74" t="s">
        <v>257</v>
      </c>
      <c r="B6" s="75">
        <v>19533640</v>
      </c>
      <c r="C6" s="75">
        <v>27016690</v>
      </c>
      <c r="D6" s="75">
        <v>2275470</v>
      </c>
      <c r="E6" s="75">
        <v>32458010</v>
      </c>
      <c r="F6" s="75">
        <v>41223330</v>
      </c>
      <c r="G6" s="75">
        <v>146449125</v>
      </c>
      <c r="H6" s="75">
        <v>38588305</v>
      </c>
      <c r="I6" s="75">
        <v>27890025</v>
      </c>
      <c r="J6" s="75">
        <v>22501670</v>
      </c>
      <c r="K6" s="75">
        <v>43016945</v>
      </c>
      <c r="L6" s="139">
        <v>400953210</v>
      </c>
      <c r="M6" s="92" t="s">
        <v>109</v>
      </c>
    </row>
    <row r="7" spans="1:13">
      <c r="A7" s="140" t="s">
        <v>258</v>
      </c>
      <c r="B7" s="141">
        <v>21277145</v>
      </c>
      <c r="C7" s="141">
        <v>28797775</v>
      </c>
      <c r="D7" s="141">
        <v>2573095</v>
      </c>
      <c r="E7" s="141">
        <v>35725070</v>
      </c>
      <c r="F7" s="141">
        <v>45552545</v>
      </c>
      <c r="G7" s="141">
        <v>157209095</v>
      </c>
      <c r="H7" s="141">
        <v>41140475</v>
      </c>
      <c r="I7" s="141">
        <v>31384515</v>
      </c>
      <c r="J7" s="141">
        <v>27069700</v>
      </c>
      <c r="K7" s="141">
        <v>48626000</v>
      </c>
      <c r="L7" s="139">
        <v>439355415</v>
      </c>
      <c r="M7" s="92" t="s">
        <v>109</v>
      </c>
    </row>
    <row r="8" spans="1:13">
      <c r="A8" s="62" t="s">
        <v>259</v>
      </c>
      <c r="B8" s="63">
        <v>21120655</v>
      </c>
      <c r="C8" s="63">
        <v>27952885</v>
      </c>
      <c r="D8" s="63">
        <v>2459200</v>
      </c>
      <c r="E8" s="63">
        <v>33268405</v>
      </c>
      <c r="F8" s="63">
        <v>42077495</v>
      </c>
      <c r="G8" s="63">
        <v>162584980</v>
      </c>
      <c r="H8" s="63">
        <v>41666625</v>
      </c>
      <c r="I8" s="63">
        <v>28270185</v>
      </c>
      <c r="J8" s="63">
        <v>24125635</v>
      </c>
      <c r="K8" s="63">
        <v>42654995</v>
      </c>
      <c r="L8" s="139">
        <v>426181060</v>
      </c>
      <c r="M8" s="92" t="s">
        <v>109</v>
      </c>
    </row>
    <row r="9" spans="1:13">
      <c r="A9" s="104" t="s">
        <v>260</v>
      </c>
      <c r="B9" s="105">
        <v>20741730</v>
      </c>
      <c r="C9" s="105">
        <v>28294040</v>
      </c>
      <c r="D9" s="105">
        <v>2793175</v>
      </c>
      <c r="E9" s="105">
        <v>34329810</v>
      </c>
      <c r="F9" s="105">
        <v>41626045</v>
      </c>
      <c r="G9" s="105">
        <v>177408030</v>
      </c>
      <c r="H9" s="105">
        <v>39701595</v>
      </c>
      <c r="I9" s="105">
        <v>32531600</v>
      </c>
      <c r="J9" s="105">
        <v>23951705</v>
      </c>
      <c r="K9" s="105">
        <v>47653900</v>
      </c>
      <c r="L9" s="139">
        <v>449031630</v>
      </c>
      <c r="M9" s="92" t="s">
        <v>109</v>
      </c>
    </row>
    <row r="10" spans="1:13">
      <c r="A10" s="50" t="s">
        <v>261</v>
      </c>
      <c r="B10" s="51">
        <v>16707925</v>
      </c>
      <c r="C10" s="51">
        <v>24966195</v>
      </c>
      <c r="D10" s="51">
        <v>2037435</v>
      </c>
      <c r="E10" s="51">
        <v>28640175</v>
      </c>
      <c r="F10" s="51">
        <v>32284995</v>
      </c>
      <c r="G10" s="51">
        <v>143465970</v>
      </c>
      <c r="H10" s="51">
        <v>35552970</v>
      </c>
      <c r="I10" s="51">
        <v>26443235</v>
      </c>
      <c r="J10" s="51">
        <v>21856770</v>
      </c>
      <c r="K10" s="51">
        <v>40693470</v>
      </c>
      <c r="L10" s="139">
        <v>372649140</v>
      </c>
      <c r="M10" s="92" t="s">
        <v>109</v>
      </c>
    </row>
    <row r="11" spans="1:13">
      <c r="A11" s="80" t="s">
        <v>262</v>
      </c>
      <c r="B11" s="81">
        <v>14200465</v>
      </c>
      <c r="C11" s="81">
        <v>19804770</v>
      </c>
      <c r="D11" s="81">
        <v>1566940</v>
      </c>
      <c r="E11" s="81">
        <v>23349930</v>
      </c>
      <c r="F11" s="81">
        <v>27959490</v>
      </c>
      <c r="G11" s="81">
        <v>116468300</v>
      </c>
      <c r="H11" s="81">
        <v>27305850</v>
      </c>
      <c r="I11" s="81">
        <v>21334245</v>
      </c>
      <c r="J11" s="81">
        <v>16982705</v>
      </c>
      <c r="K11" s="81">
        <v>33093995</v>
      </c>
      <c r="L11" s="139">
        <v>302066690</v>
      </c>
      <c r="M11" s="92" t="s">
        <v>109</v>
      </c>
    </row>
    <row r="12" spans="1:13">
      <c r="A12" s="80" t="s">
        <v>263</v>
      </c>
      <c r="B12" s="81">
        <v>13688560</v>
      </c>
      <c r="C12" s="81">
        <v>19452650</v>
      </c>
      <c r="D12" s="81">
        <v>1536050</v>
      </c>
      <c r="E12" s="81">
        <v>23736750</v>
      </c>
      <c r="F12" s="81">
        <v>30993115</v>
      </c>
      <c r="G12" s="81">
        <v>110670810</v>
      </c>
      <c r="H12" s="81">
        <v>29864335</v>
      </c>
      <c r="I12" s="81">
        <v>21636500</v>
      </c>
      <c r="J12" s="81">
        <v>17100450</v>
      </c>
      <c r="K12" s="81">
        <v>32181115</v>
      </c>
      <c r="L12" s="139">
        <v>300860335</v>
      </c>
      <c r="M12" s="92" t="s">
        <v>109</v>
      </c>
    </row>
    <row r="13" spans="1:13">
      <c r="A13" s="130" t="s">
        <v>264</v>
      </c>
      <c r="B13" s="131">
        <v>13127150</v>
      </c>
      <c r="C13" s="131">
        <v>19584540</v>
      </c>
      <c r="D13" s="131">
        <v>1488605</v>
      </c>
      <c r="E13" s="131">
        <v>22734045</v>
      </c>
      <c r="F13" s="131">
        <v>28541175</v>
      </c>
      <c r="G13" s="131">
        <v>98908495</v>
      </c>
      <c r="H13" s="131">
        <v>26014730</v>
      </c>
      <c r="I13" s="131">
        <v>20390725</v>
      </c>
      <c r="J13" s="131">
        <v>15668465</v>
      </c>
      <c r="K13" s="131">
        <v>32059565</v>
      </c>
      <c r="L13" s="139">
        <v>278517495</v>
      </c>
      <c r="M13" s="92" t="s">
        <v>109</v>
      </c>
    </row>
    <row r="14" spans="1:13">
      <c r="A14" s="62" t="s">
        <v>265</v>
      </c>
      <c r="B14" s="63">
        <v>14660295</v>
      </c>
      <c r="C14" s="63">
        <v>18558025</v>
      </c>
      <c r="D14" s="63">
        <v>1493555</v>
      </c>
      <c r="E14" s="63">
        <v>23430005</v>
      </c>
      <c r="F14" s="63">
        <v>27373055</v>
      </c>
      <c r="G14" s="63">
        <v>105628735</v>
      </c>
      <c r="H14" s="63">
        <v>29332165</v>
      </c>
      <c r="I14" s="63">
        <v>22138700</v>
      </c>
      <c r="J14" s="63">
        <v>17510170</v>
      </c>
      <c r="K14" s="63">
        <v>33710975</v>
      </c>
      <c r="L14" s="139">
        <v>293835680</v>
      </c>
      <c r="M14" s="92" t="s">
        <v>109</v>
      </c>
    </row>
    <row r="15" spans="1:13">
      <c r="A15" s="74" t="s">
        <v>266</v>
      </c>
      <c r="B15" s="75">
        <v>13924690</v>
      </c>
      <c r="C15" s="75">
        <v>19147705</v>
      </c>
      <c r="D15" s="75">
        <v>1578385</v>
      </c>
      <c r="E15" s="75">
        <v>22206210</v>
      </c>
      <c r="F15" s="75">
        <v>27308565</v>
      </c>
      <c r="G15" s="75">
        <v>106230985</v>
      </c>
      <c r="H15" s="75">
        <v>25339555</v>
      </c>
      <c r="I15" s="75">
        <v>18643710</v>
      </c>
      <c r="J15" s="75">
        <v>15736995</v>
      </c>
      <c r="K15" s="75">
        <v>31649645</v>
      </c>
      <c r="L15" s="139">
        <v>281766445</v>
      </c>
      <c r="M15" s="92" t="s">
        <v>109</v>
      </c>
    </row>
    <row r="16" spans="1:13">
      <c r="A16" s="74" t="s">
        <v>267</v>
      </c>
      <c r="B16" s="75">
        <v>14714145</v>
      </c>
      <c r="C16" s="75">
        <v>19442660</v>
      </c>
      <c r="D16" s="75">
        <v>1542395</v>
      </c>
      <c r="E16" s="75">
        <v>23585060</v>
      </c>
      <c r="F16" s="75">
        <v>27857975</v>
      </c>
      <c r="G16" s="75">
        <v>109921530</v>
      </c>
      <c r="H16" s="75">
        <v>27852240</v>
      </c>
      <c r="I16" s="75">
        <v>21487220</v>
      </c>
      <c r="J16" s="75">
        <v>17091635</v>
      </c>
      <c r="K16" s="75">
        <v>31645240</v>
      </c>
      <c r="L16" s="139">
        <v>295140100</v>
      </c>
      <c r="M16" s="92" t="s">
        <v>109</v>
      </c>
    </row>
    <row r="17" spans="1:11">
      <c r="A17" s="142" t="s">
        <v>268</v>
      </c>
      <c r="B17" s="143">
        <v>204583470</v>
      </c>
      <c r="C17" s="143">
        <v>280083785</v>
      </c>
      <c r="D17" s="143">
        <v>23439915</v>
      </c>
      <c r="E17" s="143">
        <v>337320360</v>
      </c>
      <c r="F17" s="143">
        <v>413581560</v>
      </c>
      <c r="G17" s="143">
        <v>1606935485</v>
      </c>
      <c r="H17" s="143">
        <v>403781295</v>
      </c>
      <c r="I17" s="143">
        <v>302779985</v>
      </c>
      <c r="J17" s="143">
        <v>245279085</v>
      </c>
      <c r="K17" s="143">
        <v>465462580</v>
      </c>
    </row>
    <row r="20" spans="1:11" ht="20.100000000000001" customHeight="1">
      <c r="A20" s="169" t="s">
        <v>269</v>
      </c>
      <c r="B20" s="196"/>
      <c r="C20" s="196"/>
      <c r="D20" s="196"/>
      <c r="E20" s="196"/>
    </row>
    <row r="21" spans="1:11">
      <c r="A21" s="32" t="s">
        <v>143</v>
      </c>
      <c r="B21" s="32" t="s">
        <v>270</v>
      </c>
      <c r="C21" s="32" t="s">
        <v>271</v>
      </c>
      <c r="D21" s="32" t="s">
        <v>272</v>
      </c>
      <c r="E21" s="32" t="s">
        <v>273</v>
      </c>
    </row>
    <row r="22" spans="1:11">
      <c r="A22" s="34" t="s">
        <v>156</v>
      </c>
      <c r="B22" s="47" t="s">
        <v>258</v>
      </c>
      <c r="C22" s="124">
        <v>1.248</v>
      </c>
      <c r="D22" s="113" t="s">
        <v>264</v>
      </c>
      <c r="E22" s="144">
        <v>0.77</v>
      </c>
    </row>
    <row r="23" spans="1:11">
      <c r="A23" s="34" t="s">
        <v>154</v>
      </c>
      <c r="B23" s="47" t="s">
        <v>258</v>
      </c>
      <c r="C23" s="124">
        <v>1.234</v>
      </c>
      <c r="D23" s="113" t="s">
        <v>265</v>
      </c>
      <c r="E23" s="144">
        <v>0.79500000000000004</v>
      </c>
    </row>
    <row r="24" spans="1:11">
      <c r="A24" s="34" t="s">
        <v>157</v>
      </c>
      <c r="B24" s="47" t="s">
        <v>260</v>
      </c>
      <c r="C24" s="124">
        <v>1.43</v>
      </c>
      <c r="D24" s="113" t="s">
        <v>264</v>
      </c>
      <c r="E24" s="144">
        <v>0.76200000000000001</v>
      </c>
    </row>
    <row r="25" spans="1:11">
      <c r="A25" s="34" t="s">
        <v>152</v>
      </c>
      <c r="B25" s="47" t="s">
        <v>258</v>
      </c>
      <c r="C25" s="124">
        <v>1.2709999999999999</v>
      </c>
      <c r="D25" s="113" t="s">
        <v>266</v>
      </c>
      <c r="E25" s="144">
        <v>0.79</v>
      </c>
    </row>
    <row r="26" spans="1:11">
      <c r="A26" s="34" t="s">
        <v>150</v>
      </c>
      <c r="B26" s="47" t="s">
        <v>258</v>
      </c>
      <c r="C26" s="124">
        <v>1.3220000000000001</v>
      </c>
      <c r="D26" s="113" t="s">
        <v>266</v>
      </c>
      <c r="E26" s="144">
        <v>0.79200000000000004</v>
      </c>
    </row>
    <row r="27" spans="1:11">
      <c r="A27" s="34" t="s">
        <v>109</v>
      </c>
      <c r="B27" s="47" t="s">
        <v>260</v>
      </c>
      <c r="C27" s="124">
        <v>1.325</v>
      </c>
      <c r="D27" s="113" t="s">
        <v>264</v>
      </c>
      <c r="E27" s="144">
        <v>0.73899999999999999</v>
      </c>
    </row>
    <row r="28" spans="1:11">
      <c r="A28" s="34" t="s">
        <v>151</v>
      </c>
      <c r="B28" s="47" t="s">
        <v>259</v>
      </c>
      <c r="C28" s="124">
        <v>1.238</v>
      </c>
      <c r="D28" s="113" t="s">
        <v>266</v>
      </c>
      <c r="E28" s="144">
        <v>0.753</v>
      </c>
    </row>
    <row r="29" spans="1:11">
      <c r="A29" s="34" t="s">
        <v>153</v>
      </c>
      <c r="B29" s="47" t="s">
        <v>260</v>
      </c>
      <c r="C29" s="124">
        <v>1.2889999999999999</v>
      </c>
      <c r="D29" s="113" t="s">
        <v>266</v>
      </c>
      <c r="E29" s="144">
        <v>0.73899999999999999</v>
      </c>
    </row>
    <row r="30" spans="1:11">
      <c r="A30" s="34" t="s">
        <v>155</v>
      </c>
      <c r="B30" s="47" t="s">
        <v>258</v>
      </c>
      <c r="C30" s="124">
        <v>1.3240000000000001</v>
      </c>
      <c r="D30" s="113" t="s">
        <v>264</v>
      </c>
      <c r="E30" s="144">
        <v>0.76700000000000002</v>
      </c>
    </row>
    <row r="31" spans="1:11">
      <c r="A31" s="34" t="s">
        <v>149</v>
      </c>
      <c r="B31" s="47" t="s">
        <v>258</v>
      </c>
      <c r="C31" s="124">
        <v>1.254</v>
      </c>
      <c r="D31" s="35" t="s">
        <v>267</v>
      </c>
      <c r="E31" s="123">
        <v>0.81599999999999995</v>
      </c>
    </row>
  </sheetData>
  <mergeCells count="3">
    <mergeCell ref="A1:M2"/>
    <mergeCell ref="A3:M3"/>
    <mergeCell ref="A20:E20"/>
  </mergeCells>
  <conditionalFormatting sqref="B5:B16">
    <cfRule type="colorScale" priority="1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C5:C16">
    <cfRule type="colorScale" priority="2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D5:D16">
    <cfRule type="colorScale" priority="3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E5:E16">
    <cfRule type="colorScale" priority="4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F5:F16">
    <cfRule type="colorScale" priority="5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G5:G16">
    <cfRule type="colorScale" priority="6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H5:H16">
    <cfRule type="colorScale" priority="7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I5:I16">
    <cfRule type="colorScale" priority="8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J5:J16">
    <cfRule type="colorScale" priority="9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K5:K16">
    <cfRule type="colorScale" priority="10">
      <colorScale>
        <cfvo type="min"/>
        <cfvo type="percentile" val="50"/>
        <cfvo type="max"/>
        <color rgb="FFFFFFFF"/>
        <color rgb="FFAED6F1"/>
        <color rgb="FF1A3C5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9"/>
  <sheetViews>
    <sheetView showGridLines="0" workbookViewId="0">
      <pane ySplit="4" topLeftCell="A5" activePane="bottomLeft" state="frozen"/>
      <selection pane="bottomLeft" sqref="A1:K2"/>
    </sheetView>
  </sheetViews>
  <sheetFormatPr defaultRowHeight="15"/>
  <cols>
    <col min="1" max="1" width="3" customWidth="1"/>
    <col min="2" max="2" width="6" customWidth="1"/>
    <col min="3" max="3" width="24" customWidth="1"/>
    <col min="4" max="4" width="28" customWidth="1"/>
    <col min="5" max="5" width="12" customWidth="1"/>
    <col min="6" max="6" width="22" customWidth="1"/>
    <col min="7" max="7" width="16" customWidth="1"/>
    <col min="8" max="8" width="14" customWidth="1"/>
    <col min="9" max="9" width="16" customWidth="1"/>
    <col min="10" max="11" width="14" customWidth="1"/>
  </cols>
  <sheetData>
    <row r="1" spans="1:11" ht="24" customHeight="1">
      <c r="A1" s="168" t="s">
        <v>274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2" spans="1:11" ht="20.100000000000001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</row>
    <row r="3" spans="1:11" ht="20.100000000000001" customHeight="1">
      <c r="A3" s="169" t="s">
        <v>275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</row>
    <row r="4" spans="1:11">
      <c r="A4" s="32" t="s">
        <v>143</v>
      </c>
      <c r="B4" s="1" t="s">
        <v>232</v>
      </c>
      <c r="C4" s="1" t="s">
        <v>234</v>
      </c>
      <c r="D4" s="1" t="s">
        <v>235</v>
      </c>
      <c r="E4" s="1" t="s">
        <v>233</v>
      </c>
      <c r="F4" s="1" t="s">
        <v>236</v>
      </c>
      <c r="G4" s="1" t="s">
        <v>237</v>
      </c>
      <c r="H4" s="32" t="s">
        <v>230</v>
      </c>
      <c r="I4" s="32" t="s">
        <v>276</v>
      </c>
    </row>
    <row r="5" spans="1:11">
      <c r="A5" s="98" t="s">
        <v>156</v>
      </c>
      <c r="B5" s="99">
        <v>69505365</v>
      </c>
      <c r="C5" s="99">
        <v>31655470</v>
      </c>
      <c r="D5" s="99">
        <v>19239820</v>
      </c>
      <c r="E5" s="99">
        <v>62663335</v>
      </c>
      <c r="F5" s="99">
        <v>15360360</v>
      </c>
      <c r="G5" s="99">
        <v>6159120</v>
      </c>
      <c r="H5" s="139">
        <v>204583470</v>
      </c>
      <c r="I5" s="138" t="s">
        <v>232</v>
      </c>
    </row>
    <row r="6" spans="1:11">
      <c r="A6" s="86" t="s">
        <v>154</v>
      </c>
      <c r="B6" s="87">
        <v>96510660</v>
      </c>
      <c r="C6" s="87">
        <v>42275110</v>
      </c>
      <c r="D6" s="87">
        <v>29203300</v>
      </c>
      <c r="E6" s="87">
        <v>83686830</v>
      </c>
      <c r="F6" s="87">
        <v>19291175</v>
      </c>
      <c r="G6" s="87">
        <v>9116710</v>
      </c>
      <c r="H6" s="139">
        <v>280083785</v>
      </c>
      <c r="I6" s="138" t="s">
        <v>232</v>
      </c>
    </row>
    <row r="7" spans="1:11">
      <c r="A7" s="104" t="s">
        <v>157</v>
      </c>
      <c r="B7" s="105">
        <v>8425715</v>
      </c>
      <c r="C7" s="105">
        <v>3497910</v>
      </c>
      <c r="D7" s="105">
        <v>2503165</v>
      </c>
      <c r="E7" s="105">
        <v>6807990</v>
      </c>
      <c r="F7" s="105">
        <v>1453515</v>
      </c>
      <c r="G7" s="105">
        <v>751620</v>
      </c>
      <c r="H7" s="139">
        <v>23439915</v>
      </c>
      <c r="I7" s="138" t="s">
        <v>232</v>
      </c>
    </row>
    <row r="8" spans="1:11">
      <c r="A8" s="74" t="s">
        <v>152</v>
      </c>
      <c r="B8" s="75">
        <v>118344295</v>
      </c>
      <c r="C8" s="75">
        <v>51565305</v>
      </c>
      <c r="D8" s="75">
        <v>32694030</v>
      </c>
      <c r="E8" s="75">
        <v>102481385</v>
      </c>
      <c r="F8" s="75">
        <v>22568060</v>
      </c>
      <c r="G8" s="75">
        <v>9667285</v>
      </c>
      <c r="H8" s="139">
        <v>337320360</v>
      </c>
      <c r="I8" s="138" t="s">
        <v>232</v>
      </c>
    </row>
    <row r="9" spans="1:11">
      <c r="A9" s="62" t="s">
        <v>150</v>
      </c>
      <c r="B9" s="63">
        <v>148048315</v>
      </c>
      <c r="C9" s="63">
        <v>61794340</v>
      </c>
      <c r="D9" s="63">
        <v>38333785</v>
      </c>
      <c r="E9" s="63">
        <v>122580270</v>
      </c>
      <c r="F9" s="63">
        <v>29932000</v>
      </c>
      <c r="G9" s="63">
        <v>12892850</v>
      </c>
      <c r="H9" s="139">
        <v>413581560</v>
      </c>
      <c r="I9" s="138" t="s">
        <v>232</v>
      </c>
    </row>
    <row r="10" spans="1:11">
      <c r="A10" s="50" t="s">
        <v>109</v>
      </c>
      <c r="B10" s="51">
        <v>558240090</v>
      </c>
      <c r="C10" s="51">
        <v>233585905</v>
      </c>
      <c r="D10" s="51">
        <v>160709660</v>
      </c>
      <c r="E10" s="51">
        <v>488874985</v>
      </c>
      <c r="F10" s="51">
        <v>117203675</v>
      </c>
      <c r="G10" s="51">
        <v>48321170</v>
      </c>
      <c r="H10" s="139">
        <v>1606935485</v>
      </c>
      <c r="I10" s="138" t="s">
        <v>232</v>
      </c>
    </row>
    <row r="11" spans="1:11">
      <c r="A11" s="68" t="s">
        <v>151</v>
      </c>
      <c r="B11" s="69">
        <v>138356485</v>
      </c>
      <c r="C11" s="69">
        <v>65348245</v>
      </c>
      <c r="D11" s="69">
        <v>38813665</v>
      </c>
      <c r="E11" s="69">
        <v>121335500</v>
      </c>
      <c r="F11" s="69">
        <v>27830560</v>
      </c>
      <c r="G11" s="69">
        <v>12096840</v>
      </c>
      <c r="H11" s="139">
        <v>403781295</v>
      </c>
      <c r="I11" s="138" t="s">
        <v>232</v>
      </c>
    </row>
    <row r="12" spans="1:11">
      <c r="A12" s="80" t="s">
        <v>153</v>
      </c>
      <c r="B12" s="81">
        <v>102453010</v>
      </c>
      <c r="C12" s="81">
        <v>45722425</v>
      </c>
      <c r="D12" s="81">
        <v>32222500</v>
      </c>
      <c r="E12" s="81">
        <v>91618090</v>
      </c>
      <c r="F12" s="81">
        <v>21176400</v>
      </c>
      <c r="G12" s="81">
        <v>9587560</v>
      </c>
      <c r="H12" s="139">
        <v>302779985</v>
      </c>
      <c r="I12" s="138" t="s">
        <v>232</v>
      </c>
    </row>
    <row r="13" spans="1:11">
      <c r="A13" s="92" t="s">
        <v>155</v>
      </c>
      <c r="B13" s="93">
        <v>86160450</v>
      </c>
      <c r="C13" s="93">
        <v>37662585</v>
      </c>
      <c r="D13" s="93">
        <v>25766660</v>
      </c>
      <c r="E13" s="93">
        <v>71536280</v>
      </c>
      <c r="F13" s="93">
        <v>17089860</v>
      </c>
      <c r="G13" s="93">
        <v>7063250</v>
      </c>
      <c r="H13" s="139">
        <v>245279085</v>
      </c>
      <c r="I13" s="138" t="s">
        <v>232</v>
      </c>
    </row>
    <row r="14" spans="1:11">
      <c r="A14" s="56" t="s">
        <v>149</v>
      </c>
      <c r="B14" s="57">
        <v>160452530</v>
      </c>
      <c r="C14" s="57">
        <v>70416750</v>
      </c>
      <c r="D14" s="57">
        <v>48650095</v>
      </c>
      <c r="E14" s="57">
        <v>138499195</v>
      </c>
      <c r="F14" s="57">
        <v>32163320</v>
      </c>
      <c r="G14" s="57">
        <v>15280690</v>
      </c>
      <c r="H14" s="139">
        <v>465462580</v>
      </c>
      <c r="I14" s="138" t="s">
        <v>232</v>
      </c>
    </row>
    <row r="18" spans="1:9" ht="20.100000000000001" customHeight="1">
      <c r="A18" s="169" t="s">
        <v>277</v>
      </c>
      <c r="B18" s="196"/>
      <c r="C18" s="196"/>
      <c r="D18" s="196"/>
      <c r="E18" s="196"/>
      <c r="F18" s="196"/>
      <c r="G18" s="196"/>
      <c r="H18" s="196"/>
      <c r="I18" s="196"/>
    </row>
    <row r="19" spans="1:9">
      <c r="A19" s="32" t="s">
        <v>112</v>
      </c>
      <c r="B19" s="32" t="s">
        <v>278</v>
      </c>
      <c r="C19" s="32" t="s">
        <v>279</v>
      </c>
      <c r="D19" s="32" t="s">
        <v>280</v>
      </c>
      <c r="E19" s="32" t="s">
        <v>143</v>
      </c>
      <c r="F19" s="32" t="s">
        <v>162</v>
      </c>
      <c r="G19" s="32" t="s">
        <v>118</v>
      </c>
      <c r="H19" s="32" t="s">
        <v>119</v>
      </c>
      <c r="I19" s="32" t="s">
        <v>147</v>
      </c>
    </row>
    <row r="20" spans="1:9">
      <c r="A20" s="12">
        <v>1</v>
      </c>
      <c r="B20" s="62" t="s">
        <v>281</v>
      </c>
      <c r="C20" s="13" t="s">
        <v>282</v>
      </c>
      <c r="D20" s="7" t="s">
        <v>283</v>
      </c>
      <c r="E20" s="3" t="s">
        <v>109</v>
      </c>
      <c r="F20" s="63">
        <v>171614770</v>
      </c>
      <c r="G20" s="65">
        <v>3.8</v>
      </c>
      <c r="H20" s="66">
        <v>86.7</v>
      </c>
      <c r="I20" s="67">
        <v>41.07</v>
      </c>
    </row>
    <row r="21" spans="1:9">
      <c r="A21" s="138">
        <v>2</v>
      </c>
      <c r="B21" s="92" t="s">
        <v>284</v>
      </c>
      <c r="C21" s="116" t="s">
        <v>285</v>
      </c>
      <c r="D21" s="17" t="s">
        <v>286</v>
      </c>
      <c r="E21" s="3" t="s">
        <v>109</v>
      </c>
      <c r="F21" s="93">
        <v>164595575</v>
      </c>
      <c r="G21" s="95">
        <v>4.25</v>
      </c>
      <c r="H21" s="96">
        <v>91.3</v>
      </c>
      <c r="I21" s="97">
        <v>41.09</v>
      </c>
    </row>
    <row r="22" spans="1:9">
      <c r="A22" s="138">
        <v>3</v>
      </c>
      <c r="B22" s="92" t="s">
        <v>287</v>
      </c>
      <c r="C22" s="116" t="s">
        <v>288</v>
      </c>
      <c r="D22" s="17" t="s">
        <v>286</v>
      </c>
      <c r="E22" s="3" t="s">
        <v>109</v>
      </c>
      <c r="F22" s="93">
        <v>163837490</v>
      </c>
      <c r="G22" s="95">
        <v>4.25</v>
      </c>
      <c r="H22" s="96">
        <v>91.1</v>
      </c>
      <c r="I22" s="97">
        <v>41.07</v>
      </c>
    </row>
    <row r="23" spans="1:9">
      <c r="A23" s="12">
        <v>4</v>
      </c>
      <c r="B23" s="62" t="s">
        <v>289</v>
      </c>
      <c r="C23" s="13" t="s">
        <v>290</v>
      </c>
      <c r="D23" s="7" t="s">
        <v>283</v>
      </c>
      <c r="E23" s="3" t="s">
        <v>109</v>
      </c>
      <c r="F23" s="63">
        <v>163047200</v>
      </c>
      <c r="G23" s="65">
        <v>3.82</v>
      </c>
      <c r="H23" s="66">
        <v>86.4</v>
      </c>
      <c r="I23" s="67">
        <v>41.07</v>
      </c>
    </row>
    <row r="24" spans="1:9">
      <c r="A24" s="138">
        <v>5</v>
      </c>
      <c r="B24" s="92" t="s">
        <v>291</v>
      </c>
      <c r="C24" s="116" t="s">
        <v>282</v>
      </c>
      <c r="D24" s="17" t="s">
        <v>286</v>
      </c>
      <c r="E24" s="3" t="s">
        <v>109</v>
      </c>
      <c r="F24" s="93">
        <v>160912655</v>
      </c>
      <c r="G24" s="95">
        <v>4.26</v>
      </c>
      <c r="H24" s="96">
        <v>91.4</v>
      </c>
      <c r="I24" s="97">
        <v>41.05</v>
      </c>
    </row>
    <row r="25" spans="1:9">
      <c r="A25" s="138">
        <v>6</v>
      </c>
      <c r="B25" s="92" t="s">
        <v>292</v>
      </c>
      <c r="C25" s="116" t="s">
        <v>293</v>
      </c>
      <c r="D25" s="17" t="s">
        <v>286</v>
      </c>
      <c r="E25" s="3" t="s">
        <v>109</v>
      </c>
      <c r="F25" s="93">
        <v>158234500</v>
      </c>
      <c r="G25" s="95">
        <v>4.25</v>
      </c>
      <c r="H25" s="96">
        <v>91.3</v>
      </c>
      <c r="I25" s="97">
        <v>41.07</v>
      </c>
    </row>
    <row r="26" spans="1:9">
      <c r="A26" s="138">
        <v>7</v>
      </c>
      <c r="B26" s="92" t="s">
        <v>294</v>
      </c>
      <c r="C26" s="116" t="s">
        <v>295</v>
      </c>
      <c r="D26" s="17" t="s">
        <v>286</v>
      </c>
      <c r="E26" s="3" t="s">
        <v>109</v>
      </c>
      <c r="F26" s="93">
        <v>157495230</v>
      </c>
      <c r="G26" s="95">
        <v>4.24</v>
      </c>
      <c r="H26" s="96">
        <v>91.5</v>
      </c>
      <c r="I26" s="97">
        <v>41.1</v>
      </c>
    </row>
    <row r="27" spans="1:9">
      <c r="A27" s="12">
        <v>8</v>
      </c>
      <c r="B27" s="62" t="s">
        <v>296</v>
      </c>
      <c r="C27" s="13" t="s">
        <v>297</v>
      </c>
      <c r="D27" s="7" t="s">
        <v>283</v>
      </c>
      <c r="E27" s="3" t="s">
        <v>109</v>
      </c>
      <c r="F27" s="63">
        <v>156531655</v>
      </c>
      <c r="G27" s="65">
        <v>3.82</v>
      </c>
      <c r="H27" s="66">
        <v>86.5</v>
      </c>
      <c r="I27" s="67">
        <v>41.12</v>
      </c>
    </row>
    <row r="28" spans="1:9">
      <c r="A28" s="138">
        <v>9</v>
      </c>
      <c r="B28" s="92" t="s">
        <v>298</v>
      </c>
      <c r="C28" s="116" t="s">
        <v>299</v>
      </c>
      <c r="D28" s="17" t="s">
        <v>286</v>
      </c>
      <c r="E28" s="3" t="s">
        <v>109</v>
      </c>
      <c r="F28" s="93">
        <v>155336670</v>
      </c>
      <c r="G28" s="95">
        <v>4.26</v>
      </c>
      <c r="H28" s="96">
        <v>91.2</v>
      </c>
      <c r="I28" s="97">
        <v>41.05</v>
      </c>
    </row>
    <row r="29" spans="1:9">
      <c r="A29" s="138">
        <v>10</v>
      </c>
      <c r="B29" s="92" t="s">
        <v>300</v>
      </c>
      <c r="C29" s="116" t="s">
        <v>301</v>
      </c>
      <c r="D29" s="17" t="s">
        <v>286</v>
      </c>
      <c r="E29" s="3" t="s">
        <v>109</v>
      </c>
      <c r="F29" s="93">
        <v>155329740</v>
      </c>
      <c r="G29" s="95">
        <v>4.25</v>
      </c>
      <c r="H29" s="96">
        <v>91.3</v>
      </c>
      <c r="I29" s="97">
        <v>41.03</v>
      </c>
    </row>
    <row r="30" spans="1:9">
      <c r="A30" s="12">
        <v>11</v>
      </c>
      <c r="B30" s="62" t="s">
        <v>302</v>
      </c>
      <c r="C30" s="13" t="s">
        <v>303</v>
      </c>
      <c r="D30" s="7" t="s">
        <v>283</v>
      </c>
      <c r="E30" s="145" t="s">
        <v>149</v>
      </c>
      <c r="F30" s="63">
        <v>51086030</v>
      </c>
      <c r="G30" s="65">
        <v>3.85</v>
      </c>
      <c r="H30" s="66">
        <v>87.2</v>
      </c>
      <c r="I30" s="67">
        <v>41.04</v>
      </c>
    </row>
    <row r="31" spans="1:9">
      <c r="A31" s="138">
        <v>12</v>
      </c>
      <c r="B31" s="92" t="s">
        <v>304</v>
      </c>
      <c r="C31" s="116" t="s">
        <v>305</v>
      </c>
      <c r="D31" s="17" t="s">
        <v>286</v>
      </c>
      <c r="E31" s="145" t="s">
        <v>149</v>
      </c>
      <c r="F31" s="93">
        <v>48203870</v>
      </c>
      <c r="G31" s="95">
        <v>4.2300000000000004</v>
      </c>
      <c r="H31" s="96">
        <v>92.1</v>
      </c>
      <c r="I31" s="97">
        <v>41.03</v>
      </c>
    </row>
    <row r="32" spans="1:9">
      <c r="A32" s="138">
        <v>13</v>
      </c>
      <c r="B32" s="92" t="s">
        <v>306</v>
      </c>
      <c r="C32" s="116" t="s">
        <v>307</v>
      </c>
      <c r="D32" s="17" t="s">
        <v>286</v>
      </c>
      <c r="E32" s="145" t="s">
        <v>149</v>
      </c>
      <c r="F32" s="93">
        <v>48124230</v>
      </c>
      <c r="G32" s="95">
        <v>4.2699999999999996</v>
      </c>
      <c r="H32" s="96">
        <v>92.2</v>
      </c>
      <c r="I32" s="97">
        <v>41</v>
      </c>
    </row>
    <row r="33" spans="1:9">
      <c r="A33" s="138">
        <v>14</v>
      </c>
      <c r="B33" s="92" t="s">
        <v>308</v>
      </c>
      <c r="C33" s="116" t="s">
        <v>309</v>
      </c>
      <c r="D33" s="17" t="s">
        <v>286</v>
      </c>
      <c r="E33" s="145" t="s">
        <v>149</v>
      </c>
      <c r="F33" s="93">
        <v>47817985</v>
      </c>
      <c r="G33" s="95">
        <v>4.24</v>
      </c>
      <c r="H33" s="96">
        <v>92.2</v>
      </c>
      <c r="I33" s="97">
        <v>41.15</v>
      </c>
    </row>
    <row r="34" spans="1:9">
      <c r="A34" s="12">
        <v>15</v>
      </c>
      <c r="B34" s="62" t="s">
        <v>310</v>
      </c>
      <c r="C34" s="13" t="s">
        <v>311</v>
      </c>
      <c r="D34" s="7" t="s">
        <v>283</v>
      </c>
      <c r="E34" s="145" t="s">
        <v>149</v>
      </c>
      <c r="F34" s="63">
        <v>46069670</v>
      </c>
      <c r="G34" s="65">
        <v>3.79</v>
      </c>
      <c r="H34" s="66">
        <v>87.1</v>
      </c>
      <c r="I34" s="67">
        <v>41.09</v>
      </c>
    </row>
    <row r="35" spans="1:9">
      <c r="A35" s="138">
        <v>16</v>
      </c>
      <c r="B35" s="92" t="s">
        <v>312</v>
      </c>
      <c r="C35" s="116" t="s">
        <v>312</v>
      </c>
      <c r="D35" s="17" t="s">
        <v>286</v>
      </c>
      <c r="E35" s="145" t="s">
        <v>149</v>
      </c>
      <c r="F35" s="93">
        <v>45756035</v>
      </c>
      <c r="G35" s="95">
        <v>4.24</v>
      </c>
      <c r="H35" s="96">
        <v>92.1</v>
      </c>
      <c r="I35" s="97">
        <v>41.21</v>
      </c>
    </row>
    <row r="36" spans="1:9">
      <c r="A36" s="138">
        <v>17</v>
      </c>
      <c r="B36" s="92" t="s">
        <v>313</v>
      </c>
      <c r="C36" s="116" t="s">
        <v>313</v>
      </c>
      <c r="D36" s="17" t="s">
        <v>286</v>
      </c>
      <c r="E36" s="145" t="s">
        <v>149</v>
      </c>
      <c r="F36" s="93">
        <v>45097775</v>
      </c>
      <c r="G36" s="95">
        <v>4.26</v>
      </c>
      <c r="H36" s="96">
        <v>92.1</v>
      </c>
      <c r="I36" s="97">
        <v>41.03</v>
      </c>
    </row>
    <row r="37" spans="1:9">
      <c r="A37" s="138">
        <v>18</v>
      </c>
      <c r="B37" s="92" t="s">
        <v>314</v>
      </c>
      <c r="C37" s="116" t="s">
        <v>315</v>
      </c>
      <c r="D37" s="17" t="s">
        <v>286</v>
      </c>
      <c r="E37" s="145" t="s">
        <v>149</v>
      </c>
      <c r="F37" s="93">
        <v>44820775</v>
      </c>
      <c r="G37" s="95">
        <v>4.25</v>
      </c>
      <c r="H37" s="96">
        <v>92.1</v>
      </c>
      <c r="I37" s="97">
        <v>41.02</v>
      </c>
    </row>
    <row r="38" spans="1:9">
      <c r="A38" s="12">
        <v>19</v>
      </c>
      <c r="B38" s="62" t="s">
        <v>316</v>
      </c>
      <c r="C38" s="13" t="s">
        <v>316</v>
      </c>
      <c r="D38" s="7" t="s">
        <v>283</v>
      </c>
      <c r="E38" s="145" t="s">
        <v>149</v>
      </c>
      <c r="F38" s="63">
        <v>44677610</v>
      </c>
      <c r="G38" s="65">
        <v>3.8</v>
      </c>
      <c r="H38" s="66">
        <v>87.3</v>
      </c>
      <c r="I38" s="67">
        <v>41.12</v>
      </c>
    </row>
    <row r="39" spans="1:9">
      <c r="A39" s="12">
        <v>20</v>
      </c>
      <c r="B39" s="62" t="s">
        <v>317</v>
      </c>
      <c r="C39" s="13" t="s">
        <v>318</v>
      </c>
      <c r="D39" s="7" t="s">
        <v>283</v>
      </c>
      <c r="E39" s="145" t="s">
        <v>149</v>
      </c>
      <c r="F39" s="63">
        <v>43808600</v>
      </c>
      <c r="G39" s="65">
        <v>3.77</v>
      </c>
      <c r="H39" s="66">
        <v>87.2</v>
      </c>
      <c r="I39" s="67">
        <v>41.07</v>
      </c>
    </row>
  </sheetData>
  <mergeCells count="3">
    <mergeCell ref="A18:I18"/>
    <mergeCell ref="A1:K2"/>
    <mergeCell ref="A3:K3"/>
  </mergeCells>
  <conditionalFormatting sqref="B5:B14">
    <cfRule type="colorScale" priority="1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C5:C14">
    <cfRule type="colorScale" priority="2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D5:D14">
    <cfRule type="colorScale" priority="3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E5:E14">
    <cfRule type="colorScale" priority="4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F5:F14">
    <cfRule type="colorScale" priority="5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G5:G14">
    <cfRule type="colorScale" priority="6">
      <colorScale>
        <cfvo type="min"/>
        <cfvo type="percentile" val="50"/>
        <cfvo type="max"/>
        <color rgb="FFFFFFFF"/>
        <color rgb="FFAED6F1"/>
        <color rgb="FF1A3C5E"/>
      </colorScale>
    </cfRule>
  </conditionalFormatting>
  <conditionalFormatting sqref="F20:F3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0:G3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9"/>
  <sheetViews>
    <sheetView showGridLines="0" workbookViewId="0">
      <pane ySplit="4" topLeftCell="A5" activePane="bottomLeft" state="frozen"/>
      <selection pane="bottomLeft" sqref="A1:J2"/>
    </sheetView>
  </sheetViews>
  <sheetFormatPr defaultRowHeight="15"/>
  <cols>
    <col min="1" max="1" width="3" customWidth="1"/>
    <col min="2" max="2" width="24" customWidth="1"/>
    <col min="3" max="3" width="16" customWidth="1"/>
    <col min="4" max="11" width="14" customWidth="1"/>
  </cols>
  <sheetData>
    <row r="1" spans="1:10" ht="24" customHeight="1">
      <c r="A1" s="168" t="s">
        <v>319</v>
      </c>
      <c r="B1" s="196"/>
      <c r="C1" s="196"/>
      <c r="D1" s="196"/>
      <c r="E1" s="196"/>
      <c r="F1" s="196"/>
      <c r="G1" s="196"/>
      <c r="H1" s="196"/>
      <c r="I1" s="196"/>
      <c r="J1" s="196"/>
    </row>
    <row r="2" spans="1:10" ht="20.100000000000001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</row>
    <row r="3" spans="1:10" ht="20.100000000000001" customHeight="1">
      <c r="A3" s="169" t="s">
        <v>320</v>
      </c>
      <c r="B3" s="196"/>
      <c r="C3" s="196"/>
      <c r="D3" s="196"/>
      <c r="E3" s="196"/>
      <c r="F3" s="196"/>
      <c r="G3" s="196"/>
      <c r="H3" s="196"/>
      <c r="I3" s="196"/>
      <c r="J3" s="196"/>
    </row>
    <row r="4" spans="1:10">
      <c r="A4" s="32" t="s">
        <v>143</v>
      </c>
      <c r="B4" s="32" t="s">
        <v>321</v>
      </c>
      <c r="C4" s="32" t="s">
        <v>322</v>
      </c>
      <c r="D4" s="32" t="s">
        <v>323</v>
      </c>
      <c r="E4" s="32" t="s">
        <v>324</v>
      </c>
      <c r="F4" s="32" t="s">
        <v>325</v>
      </c>
      <c r="G4" s="32" t="s">
        <v>326</v>
      </c>
      <c r="H4" s="32" t="s">
        <v>254</v>
      </c>
      <c r="I4" s="32" t="s">
        <v>327</v>
      </c>
      <c r="J4" s="32" t="s">
        <v>119</v>
      </c>
    </row>
    <row r="5" spans="1:10">
      <c r="A5" s="92" t="s">
        <v>155</v>
      </c>
      <c r="B5" s="119">
        <v>9838</v>
      </c>
      <c r="C5" s="93">
        <v>1432</v>
      </c>
      <c r="D5" s="146">
        <v>0</v>
      </c>
      <c r="E5" s="63">
        <v>0</v>
      </c>
      <c r="F5" s="147">
        <v>0</v>
      </c>
      <c r="G5" s="51">
        <v>873</v>
      </c>
      <c r="H5" s="148">
        <v>12143</v>
      </c>
      <c r="I5" s="149">
        <v>81</v>
      </c>
      <c r="J5" s="96">
        <v>93.3</v>
      </c>
    </row>
    <row r="6" spans="1:10">
      <c r="A6" s="80" t="s">
        <v>153</v>
      </c>
      <c r="B6" s="119">
        <v>8674</v>
      </c>
      <c r="C6" s="93">
        <v>846</v>
      </c>
      <c r="D6" s="146">
        <v>0</v>
      </c>
      <c r="E6" s="63">
        <v>0</v>
      </c>
      <c r="F6" s="147">
        <v>0</v>
      </c>
      <c r="G6" s="51">
        <v>477</v>
      </c>
      <c r="H6" s="150">
        <v>9997</v>
      </c>
      <c r="I6" s="149">
        <v>86.8</v>
      </c>
      <c r="J6" s="84">
        <v>94.7</v>
      </c>
    </row>
    <row r="7" spans="1:10">
      <c r="A7" s="50" t="s">
        <v>109</v>
      </c>
      <c r="B7" s="119">
        <v>8654</v>
      </c>
      <c r="C7" s="93">
        <v>3161</v>
      </c>
      <c r="D7" s="146">
        <v>1175</v>
      </c>
      <c r="E7" s="63">
        <v>84</v>
      </c>
      <c r="F7" s="147">
        <v>0</v>
      </c>
      <c r="G7" s="51">
        <v>836</v>
      </c>
      <c r="H7" s="151">
        <v>13910</v>
      </c>
      <c r="I7" s="149">
        <v>62.2</v>
      </c>
      <c r="J7" s="54">
        <v>89.8</v>
      </c>
    </row>
    <row r="8" spans="1:10">
      <c r="A8" s="98" t="s">
        <v>156</v>
      </c>
      <c r="B8" s="119">
        <v>7299</v>
      </c>
      <c r="C8" s="93">
        <v>489</v>
      </c>
      <c r="D8" s="146">
        <v>0</v>
      </c>
      <c r="E8" s="63">
        <v>0</v>
      </c>
      <c r="F8" s="147">
        <v>0</v>
      </c>
      <c r="G8" s="51">
        <v>269</v>
      </c>
      <c r="H8" s="152">
        <v>8057</v>
      </c>
      <c r="I8" s="149">
        <v>90.6</v>
      </c>
      <c r="J8" s="102">
        <v>95.2</v>
      </c>
    </row>
    <row r="9" spans="1:10">
      <c r="A9" s="56" t="s">
        <v>149</v>
      </c>
      <c r="B9" s="119">
        <v>5060</v>
      </c>
      <c r="C9" s="93">
        <v>4078</v>
      </c>
      <c r="D9" s="146">
        <v>0</v>
      </c>
      <c r="E9" s="63">
        <v>0</v>
      </c>
      <c r="F9" s="147">
        <v>0</v>
      </c>
      <c r="G9" s="51">
        <v>821</v>
      </c>
      <c r="H9" s="153">
        <v>9959</v>
      </c>
      <c r="I9" s="149">
        <v>50.8</v>
      </c>
      <c r="J9" s="60">
        <v>90.2</v>
      </c>
    </row>
    <row r="10" spans="1:10">
      <c r="A10" s="68" t="s">
        <v>151</v>
      </c>
      <c r="B10" s="119">
        <v>4667</v>
      </c>
      <c r="C10" s="93">
        <v>2834</v>
      </c>
      <c r="D10" s="146">
        <v>0</v>
      </c>
      <c r="E10" s="63">
        <v>0</v>
      </c>
      <c r="F10" s="147">
        <v>0</v>
      </c>
      <c r="G10" s="51">
        <v>592</v>
      </c>
      <c r="H10" s="154">
        <v>8093</v>
      </c>
      <c r="I10" s="149">
        <v>57.7</v>
      </c>
      <c r="J10" s="72">
        <v>90.6</v>
      </c>
    </row>
    <row r="11" spans="1:10">
      <c r="A11" s="86" t="s">
        <v>154</v>
      </c>
      <c r="B11" s="119">
        <v>334</v>
      </c>
      <c r="C11" s="93">
        <v>9098</v>
      </c>
      <c r="D11" s="146">
        <v>1421</v>
      </c>
      <c r="E11" s="63">
        <v>0</v>
      </c>
      <c r="F11" s="147">
        <v>0</v>
      </c>
      <c r="G11" s="51">
        <v>1062</v>
      </c>
      <c r="H11" s="155">
        <v>11915</v>
      </c>
      <c r="I11" s="149">
        <v>2.8</v>
      </c>
      <c r="J11" s="90">
        <v>83.6</v>
      </c>
    </row>
    <row r="12" spans="1:10">
      <c r="A12" s="62" t="s">
        <v>150</v>
      </c>
      <c r="B12" s="119">
        <v>143</v>
      </c>
      <c r="C12" s="93">
        <v>7448</v>
      </c>
      <c r="D12" s="146">
        <v>1543</v>
      </c>
      <c r="E12" s="63">
        <v>0</v>
      </c>
      <c r="F12" s="147">
        <v>0</v>
      </c>
      <c r="G12" s="51">
        <v>897</v>
      </c>
      <c r="H12" s="156">
        <v>10031</v>
      </c>
      <c r="I12" s="149">
        <v>1.4</v>
      </c>
      <c r="J12" s="66">
        <v>83</v>
      </c>
    </row>
    <row r="13" spans="1:10">
      <c r="A13" s="74" t="s">
        <v>152</v>
      </c>
      <c r="B13" s="119">
        <v>121</v>
      </c>
      <c r="C13" s="93">
        <v>4591</v>
      </c>
      <c r="D13" s="146">
        <v>3959</v>
      </c>
      <c r="E13" s="63">
        <v>1482</v>
      </c>
      <c r="F13" s="147">
        <v>534</v>
      </c>
      <c r="G13" s="51">
        <v>1238</v>
      </c>
      <c r="H13" s="157">
        <v>11925</v>
      </c>
      <c r="I13" s="149">
        <v>1</v>
      </c>
      <c r="J13" s="78">
        <v>76.5</v>
      </c>
    </row>
    <row r="14" spans="1:10">
      <c r="A14" s="104" t="s">
        <v>157</v>
      </c>
      <c r="B14" s="119">
        <v>0</v>
      </c>
      <c r="C14" s="93">
        <v>0</v>
      </c>
      <c r="D14" s="146">
        <v>0</v>
      </c>
      <c r="E14" s="63">
        <v>52</v>
      </c>
      <c r="F14" s="147">
        <v>1899</v>
      </c>
      <c r="G14" s="51">
        <v>2019</v>
      </c>
      <c r="H14" s="158">
        <v>3970</v>
      </c>
      <c r="I14" s="149">
        <v>0</v>
      </c>
      <c r="J14" s="108">
        <v>49.4</v>
      </c>
    </row>
    <row r="18" spans="1:8" ht="20.100000000000001" customHeight="1">
      <c r="A18" s="169" t="s">
        <v>328</v>
      </c>
      <c r="B18" s="196"/>
      <c r="C18" s="196"/>
      <c r="D18" s="196"/>
      <c r="E18" s="196"/>
      <c r="F18" s="196"/>
      <c r="G18" s="196"/>
      <c r="H18" s="196"/>
    </row>
    <row r="19" spans="1:8">
      <c r="A19" s="32" t="s">
        <v>143</v>
      </c>
      <c r="B19" s="32" t="s">
        <v>329</v>
      </c>
      <c r="C19" s="32" t="s">
        <v>330</v>
      </c>
      <c r="D19" s="32" t="s">
        <v>331</v>
      </c>
      <c r="E19" s="32" t="s">
        <v>276</v>
      </c>
      <c r="F19" s="32" t="s">
        <v>332</v>
      </c>
      <c r="G19" s="32" t="s">
        <v>333</v>
      </c>
      <c r="H19" s="32" t="s">
        <v>334</v>
      </c>
    </row>
    <row r="20" spans="1:8">
      <c r="A20" s="62" t="s">
        <v>149</v>
      </c>
      <c r="B20" s="67">
        <v>4.21</v>
      </c>
      <c r="C20" s="97">
        <v>0.5</v>
      </c>
      <c r="D20" s="55">
        <v>8</v>
      </c>
      <c r="E20" s="47" t="s">
        <v>237</v>
      </c>
      <c r="F20" s="113" t="s">
        <v>236</v>
      </c>
      <c r="G20" s="63">
        <v>1969</v>
      </c>
      <c r="H20" s="13" t="s">
        <v>335</v>
      </c>
    </row>
    <row r="21" spans="1:8">
      <c r="A21" s="62" t="s">
        <v>150</v>
      </c>
      <c r="B21" s="67">
        <v>4.2300000000000004</v>
      </c>
      <c r="C21" s="97">
        <v>0.5</v>
      </c>
      <c r="D21" s="55">
        <v>8</v>
      </c>
      <c r="E21" s="47" t="s">
        <v>237</v>
      </c>
      <c r="F21" s="113" t="s">
        <v>235</v>
      </c>
      <c r="G21" s="63">
        <v>1745</v>
      </c>
      <c r="H21" s="13" t="s">
        <v>335</v>
      </c>
    </row>
    <row r="22" spans="1:8">
      <c r="A22" s="62" t="s">
        <v>153</v>
      </c>
      <c r="B22" s="67">
        <v>4.24</v>
      </c>
      <c r="C22" s="97">
        <v>0.5</v>
      </c>
      <c r="D22" s="55">
        <v>8</v>
      </c>
      <c r="E22" s="47" t="s">
        <v>236</v>
      </c>
      <c r="F22" s="113" t="s">
        <v>232</v>
      </c>
      <c r="G22" s="63">
        <v>1283</v>
      </c>
      <c r="H22" s="13" t="s">
        <v>335</v>
      </c>
    </row>
    <row r="23" spans="1:8">
      <c r="A23" s="62" t="s">
        <v>109</v>
      </c>
      <c r="B23" s="67">
        <v>4.24</v>
      </c>
      <c r="C23" s="97">
        <v>0.5</v>
      </c>
      <c r="D23" s="55">
        <v>8</v>
      </c>
      <c r="E23" s="47" t="s">
        <v>234</v>
      </c>
      <c r="F23" s="113" t="s">
        <v>237</v>
      </c>
      <c r="G23" s="63">
        <v>4895</v>
      </c>
      <c r="H23" s="13" t="s">
        <v>335</v>
      </c>
    </row>
    <row r="24" spans="1:8">
      <c r="A24" s="62" t="s">
        <v>156</v>
      </c>
      <c r="B24" s="67">
        <v>4.24</v>
      </c>
      <c r="C24" s="97">
        <v>0.5</v>
      </c>
      <c r="D24" s="55">
        <v>8</v>
      </c>
      <c r="E24" s="47" t="s">
        <v>234</v>
      </c>
      <c r="F24" s="113" t="s">
        <v>237</v>
      </c>
      <c r="G24" s="63">
        <v>1077</v>
      </c>
      <c r="H24" s="13" t="s">
        <v>335</v>
      </c>
    </row>
    <row r="25" spans="1:8">
      <c r="A25" s="62" t="s">
        <v>151</v>
      </c>
      <c r="B25" s="67">
        <v>4.24</v>
      </c>
      <c r="C25" s="97">
        <v>0.5</v>
      </c>
      <c r="D25" s="55">
        <v>8</v>
      </c>
      <c r="E25" s="47" t="s">
        <v>234</v>
      </c>
      <c r="F25" s="113" t="s">
        <v>237</v>
      </c>
      <c r="G25" s="63">
        <v>2117</v>
      </c>
      <c r="H25" s="13" t="s">
        <v>335</v>
      </c>
    </row>
    <row r="26" spans="1:8">
      <c r="A26" s="62" t="s">
        <v>152</v>
      </c>
      <c r="B26" s="67">
        <v>4.24</v>
      </c>
      <c r="C26" s="97">
        <v>0.5</v>
      </c>
      <c r="D26" s="55">
        <v>8</v>
      </c>
      <c r="E26" s="47" t="s">
        <v>232</v>
      </c>
      <c r="F26" s="113" t="s">
        <v>236</v>
      </c>
      <c r="G26" s="63">
        <v>1200</v>
      </c>
      <c r="H26" s="13" t="s">
        <v>335</v>
      </c>
    </row>
    <row r="27" spans="1:8">
      <c r="A27" s="62" t="s">
        <v>154</v>
      </c>
      <c r="B27" s="67">
        <v>4.25</v>
      </c>
      <c r="C27" s="97">
        <v>0.5</v>
      </c>
      <c r="D27" s="55">
        <v>8</v>
      </c>
      <c r="E27" s="47" t="s">
        <v>235</v>
      </c>
      <c r="F27" s="113" t="s">
        <v>237</v>
      </c>
      <c r="G27" s="63">
        <v>998</v>
      </c>
      <c r="H27" s="13" t="s">
        <v>335</v>
      </c>
    </row>
    <row r="28" spans="1:8">
      <c r="A28" s="62" t="s">
        <v>155</v>
      </c>
      <c r="B28" s="67">
        <v>4.26</v>
      </c>
      <c r="C28" s="97">
        <v>0.5</v>
      </c>
      <c r="D28" s="55">
        <v>8</v>
      </c>
      <c r="E28" s="47" t="s">
        <v>235</v>
      </c>
      <c r="F28" s="113" t="s">
        <v>237</v>
      </c>
      <c r="G28" s="63">
        <v>860</v>
      </c>
      <c r="H28" s="13" t="s">
        <v>335</v>
      </c>
    </row>
    <row r="29" spans="1:8">
      <c r="A29" s="62" t="s">
        <v>157</v>
      </c>
      <c r="B29" s="67">
        <v>4.28</v>
      </c>
      <c r="C29" s="97">
        <v>0.5</v>
      </c>
      <c r="D29" s="55">
        <v>8</v>
      </c>
      <c r="E29" s="47" t="s">
        <v>236</v>
      </c>
      <c r="F29" s="113" t="s">
        <v>232</v>
      </c>
      <c r="G29" s="63">
        <v>253</v>
      </c>
      <c r="H29" s="13" t="s">
        <v>335</v>
      </c>
    </row>
  </sheetData>
  <mergeCells count="3">
    <mergeCell ref="A18:H18"/>
    <mergeCell ref="A1:J2"/>
    <mergeCell ref="A3:J3"/>
  </mergeCells>
  <conditionalFormatting sqref="I5:I14">
    <cfRule type="dataBar" priority="1">
      <dataBar>
        <cfvo type="min"/>
        <cfvo type="max"/>
        <color rgb="FF2E6DA4"/>
      </dataBar>
    </cfRule>
  </conditionalFormatting>
  <conditionalFormatting sqref="B20:B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8"/>
  <sheetViews>
    <sheetView showGridLines="0" topLeftCell="A19" workbookViewId="0"/>
  </sheetViews>
  <sheetFormatPr defaultRowHeight="15"/>
  <cols>
    <col min="1" max="1" width="3" customWidth="1"/>
    <col min="2" max="2" width="52" customWidth="1"/>
    <col min="3" max="7" width="12" customWidth="1"/>
    <col min="8" max="8" width="50" customWidth="1"/>
    <col min="9" max="14" width="12" customWidth="1"/>
  </cols>
  <sheetData>
    <row r="1" spans="1:14" ht="24" customHeight="1">
      <c r="A1" s="168" t="s">
        <v>336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</row>
    <row r="2" spans="1:14" ht="20.100000000000001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</row>
    <row r="3" spans="1:14">
      <c r="A3" s="193" t="s">
        <v>337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</row>
    <row r="5" spans="1:14" ht="21.95" customHeight="1">
      <c r="A5" s="167" t="s">
        <v>338</v>
      </c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</row>
    <row r="6" spans="1:14" ht="21.95" customHeight="1">
      <c r="A6" s="191" t="s">
        <v>339</v>
      </c>
      <c r="B6" s="196"/>
      <c r="C6" s="196"/>
      <c r="D6" s="196"/>
      <c r="E6" s="196"/>
      <c r="F6" s="196"/>
      <c r="G6" s="186" t="s">
        <v>340</v>
      </c>
      <c r="H6" s="196"/>
      <c r="I6" s="196"/>
      <c r="J6" s="196"/>
      <c r="K6" s="196"/>
      <c r="L6" s="196"/>
      <c r="M6" s="196"/>
      <c r="N6" s="196"/>
    </row>
    <row r="7" spans="1:14" ht="21.95" customHeight="1">
      <c r="A7" s="191" t="s">
        <v>341</v>
      </c>
      <c r="B7" s="196"/>
      <c r="C7" s="196"/>
      <c r="D7" s="196"/>
      <c r="E7" s="196"/>
      <c r="F7" s="196"/>
      <c r="G7" s="186" t="s">
        <v>342</v>
      </c>
      <c r="H7" s="196"/>
      <c r="I7" s="196"/>
      <c r="J7" s="196"/>
      <c r="K7" s="196"/>
      <c r="L7" s="196"/>
      <c r="M7" s="196"/>
      <c r="N7" s="196"/>
    </row>
    <row r="8" spans="1:14" ht="21.95" customHeight="1">
      <c r="A8" s="191" t="s">
        <v>343</v>
      </c>
      <c r="B8" s="196"/>
      <c r="C8" s="196"/>
      <c r="D8" s="196"/>
      <c r="E8" s="196"/>
      <c r="F8" s="196"/>
      <c r="G8" s="186" t="s">
        <v>344</v>
      </c>
      <c r="H8" s="196"/>
      <c r="I8" s="196"/>
      <c r="J8" s="196"/>
      <c r="K8" s="196"/>
      <c r="L8" s="196"/>
      <c r="M8" s="196"/>
      <c r="N8" s="196"/>
    </row>
    <row r="10" spans="1:14" ht="21.95" customHeight="1">
      <c r="A10" s="195" t="s">
        <v>345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</row>
    <row r="11" spans="1:14" ht="21.95" customHeight="1">
      <c r="A11" s="189" t="s">
        <v>346</v>
      </c>
      <c r="B11" s="196"/>
      <c r="C11" s="196"/>
      <c r="D11" s="196"/>
      <c r="E11" s="196"/>
      <c r="F11" s="196"/>
      <c r="G11" s="186" t="s">
        <v>347</v>
      </c>
      <c r="H11" s="196"/>
      <c r="I11" s="196"/>
      <c r="J11" s="196"/>
      <c r="K11" s="196"/>
      <c r="L11" s="196"/>
      <c r="M11" s="196"/>
      <c r="N11" s="196"/>
    </row>
    <row r="12" spans="1:14" ht="21.95" customHeight="1">
      <c r="A12" s="189" t="s">
        <v>348</v>
      </c>
      <c r="B12" s="196"/>
      <c r="C12" s="196"/>
      <c r="D12" s="196"/>
      <c r="E12" s="196"/>
      <c r="F12" s="196"/>
      <c r="G12" s="186" t="s">
        <v>349</v>
      </c>
      <c r="H12" s="196"/>
      <c r="I12" s="196"/>
      <c r="J12" s="196"/>
      <c r="K12" s="196"/>
      <c r="L12" s="196"/>
      <c r="M12" s="196"/>
      <c r="N12" s="196"/>
    </row>
    <row r="13" spans="1:14" ht="21.95" customHeight="1">
      <c r="A13" s="189" t="s">
        <v>350</v>
      </c>
      <c r="B13" s="196"/>
      <c r="C13" s="196"/>
      <c r="D13" s="196"/>
      <c r="E13" s="196"/>
      <c r="F13" s="196"/>
      <c r="G13" s="186" t="s">
        <v>351</v>
      </c>
      <c r="H13" s="196"/>
      <c r="I13" s="196"/>
      <c r="J13" s="196"/>
      <c r="K13" s="196"/>
      <c r="L13" s="196"/>
      <c r="M13" s="196"/>
      <c r="N13" s="196"/>
    </row>
    <row r="15" spans="1:14" ht="21.95" customHeight="1">
      <c r="A15" s="187" t="s">
        <v>352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</row>
    <row r="16" spans="1:14" ht="21.95" customHeight="1">
      <c r="A16" s="185" t="s">
        <v>353</v>
      </c>
      <c r="B16" s="196"/>
      <c r="C16" s="196"/>
      <c r="D16" s="196"/>
      <c r="E16" s="196"/>
      <c r="F16" s="196"/>
      <c r="G16" s="186" t="s">
        <v>354</v>
      </c>
      <c r="H16" s="196"/>
      <c r="I16" s="196"/>
      <c r="J16" s="196"/>
      <c r="K16" s="196"/>
      <c r="L16" s="196"/>
      <c r="M16" s="196"/>
      <c r="N16" s="196"/>
    </row>
    <row r="17" spans="1:14" ht="21.95" customHeight="1">
      <c r="A17" s="185" t="s">
        <v>355</v>
      </c>
      <c r="B17" s="196"/>
      <c r="C17" s="196"/>
      <c r="D17" s="196"/>
      <c r="E17" s="196"/>
      <c r="F17" s="196"/>
      <c r="G17" s="186" t="s">
        <v>356</v>
      </c>
      <c r="H17" s="196"/>
      <c r="I17" s="196"/>
      <c r="J17" s="196"/>
      <c r="K17" s="196"/>
      <c r="L17" s="196"/>
      <c r="M17" s="196"/>
      <c r="N17" s="196"/>
    </row>
    <row r="18" spans="1:14" ht="21.95" customHeight="1">
      <c r="A18" s="185" t="s">
        <v>357</v>
      </c>
      <c r="B18" s="196"/>
      <c r="C18" s="196"/>
      <c r="D18" s="196"/>
      <c r="E18" s="196"/>
      <c r="F18" s="196"/>
      <c r="G18" s="186" t="s">
        <v>358</v>
      </c>
      <c r="H18" s="196"/>
      <c r="I18" s="196"/>
      <c r="J18" s="196"/>
      <c r="K18" s="196"/>
      <c r="L18" s="196"/>
      <c r="M18" s="196"/>
      <c r="N18" s="196"/>
    </row>
    <row r="20" spans="1:14" ht="21.95" customHeight="1">
      <c r="A20" s="194" t="s">
        <v>359</v>
      </c>
      <c r="B20" s="196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</row>
    <row r="21" spans="1:14" ht="21.95" customHeight="1">
      <c r="A21" s="190" t="s">
        <v>360</v>
      </c>
      <c r="B21" s="196"/>
      <c r="C21" s="196"/>
      <c r="D21" s="196"/>
      <c r="E21" s="196"/>
      <c r="F21" s="196"/>
      <c r="G21" s="186" t="s">
        <v>361</v>
      </c>
      <c r="H21" s="196"/>
      <c r="I21" s="196"/>
      <c r="J21" s="196"/>
      <c r="K21" s="196"/>
      <c r="L21" s="196"/>
      <c r="M21" s="196"/>
      <c r="N21" s="196"/>
    </row>
    <row r="22" spans="1:14" ht="21.95" customHeight="1">
      <c r="A22" s="190" t="s">
        <v>362</v>
      </c>
      <c r="B22" s="196"/>
      <c r="C22" s="196"/>
      <c r="D22" s="196"/>
      <c r="E22" s="196"/>
      <c r="F22" s="196"/>
      <c r="G22" s="186" t="s">
        <v>363</v>
      </c>
      <c r="H22" s="196"/>
      <c r="I22" s="196"/>
      <c r="J22" s="196"/>
      <c r="K22" s="196"/>
      <c r="L22" s="196"/>
      <c r="M22" s="196"/>
      <c r="N22" s="196"/>
    </row>
    <row r="23" spans="1:14" ht="21.95" customHeight="1">
      <c r="A23" s="190" t="s">
        <v>364</v>
      </c>
      <c r="B23" s="196"/>
      <c r="C23" s="196"/>
      <c r="D23" s="196"/>
      <c r="E23" s="196"/>
      <c r="F23" s="196"/>
      <c r="G23" s="186" t="s">
        <v>365</v>
      </c>
      <c r="H23" s="196"/>
      <c r="I23" s="196"/>
      <c r="J23" s="196"/>
      <c r="K23" s="196"/>
      <c r="L23" s="196"/>
      <c r="M23" s="196"/>
      <c r="N23" s="196"/>
    </row>
    <row r="25" spans="1:14" ht="21.95" customHeight="1">
      <c r="A25" s="192" t="s">
        <v>366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</row>
    <row r="26" spans="1:14" ht="21.95" customHeight="1">
      <c r="A26" s="188" t="s">
        <v>367</v>
      </c>
      <c r="B26" s="196"/>
      <c r="C26" s="196"/>
      <c r="D26" s="196"/>
      <c r="E26" s="196"/>
      <c r="F26" s="196"/>
      <c r="G26" s="186" t="s">
        <v>368</v>
      </c>
      <c r="H26" s="196"/>
      <c r="I26" s="196"/>
      <c r="J26" s="196"/>
      <c r="K26" s="196"/>
      <c r="L26" s="196"/>
      <c r="M26" s="196"/>
      <c r="N26" s="196"/>
    </row>
    <row r="27" spans="1:14" ht="21.95" customHeight="1">
      <c r="A27" s="188" t="s">
        <v>369</v>
      </c>
      <c r="B27" s="196"/>
      <c r="C27" s="196"/>
      <c r="D27" s="196"/>
      <c r="E27" s="196"/>
      <c r="F27" s="196"/>
      <c r="G27" s="186" t="s">
        <v>370</v>
      </c>
      <c r="H27" s="196"/>
      <c r="I27" s="196"/>
      <c r="J27" s="196"/>
      <c r="K27" s="196"/>
      <c r="L27" s="196"/>
      <c r="M27" s="196"/>
      <c r="N27" s="196"/>
    </row>
    <row r="28" spans="1:14" ht="21.95" customHeight="1">
      <c r="A28" s="188" t="s">
        <v>371</v>
      </c>
      <c r="B28" s="196"/>
      <c r="C28" s="196"/>
      <c r="D28" s="196"/>
      <c r="E28" s="196"/>
      <c r="F28" s="196"/>
      <c r="G28" s="186" t="s">
        <v>372</v>
      </c>
      <c r="H28" s="196"/>
      <c r="I28" s="196"/>
      <c r="J28" s="196"/>
      <c r="K28" s="196"/>
      <c r="L28" s="196"/>
      <c r="M28" s="196"/>
      <c r="N28" s="196"/>
    </row>
  </sheetData>
  <mergeCells count="37">
    <mergeCell ref="A1:N2"/>
    <mergeCell ref="A11:F11"/>
    <mergeCell ref="G26:N26"/>
    <mergeCell ref="A20:N20"/>
    <mergeCell ref="G16:N16"/>
    <mergeCell ref="A6:F6"/>
    <mergeCell ref="A10:N10"/>
    <mergeCell ref="G22:N22"/>
    <mergeCell ref="A7:F7"/>
    <mergeCell ref="G28:N28"/>
    <mergeCell ref="G6:N6"/>
    <mergeCell ref="G13:N13"/>
    <mergeCell ref="G18:N18"/>
    <mergeCell ref="A3:N3"/>
    <mergeCell ref="A28:F28"/>
    <mergeCell ref="A13:F13"/>
    <mergeCell ref="A5:N5"/>
    <mergeCell ref="G8:N8"/>
    <mergeCell ref="G17:N17"/>
    <mergeCell ref="G7:N7"/>
    <mergeCell ref="A23:F23"/>
    <mergeCell ref="A8:F8"/>
    <mergeCell ref="A22:F22"/>
    <mergeCell ref="A17:F17"/>
    <mergeCell ref="A27:F27"/>
    <mergeCell ref="A12:F12"/>
    <mergeCell ref="A18:F18"/>
    <mergeCell ref="G27:N27"/>
    <mergeCell ref="A26:F26"/>
    <mergeCell ref="A21:F21"/>
    <mergeCell ref="G23:N23"/>
    <mergeCell ref="A25:N25"/>
    <mergeCell ref="A16:F16"/>
    <mergeCell ref="G12:N12"/>
    <mergeCell ref="G21:N21"/>
    <mergeCell ref="G11:N11"/>
    <mergeCell ref="A15:N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2026-06-22T05:50:30Z</dcterms:created>
  <dcterms:modified xsi:type="dcterms:W3CDTF">2026-06-24T02:42:34Z</dcterms:modified>
  <cp:category/>
  <cp:contentStatus/>
</cp:coreProperties>
</file>